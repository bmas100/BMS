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معاونت برنامه ریزی\فناوری اطلاعات و ارتباطات\میثاقیان\"/>
    </mc:Choice>
  </mc:AlternateContent>
  <bookViews>
    <workbookView xWindow="120" yWindow="120" windowWidth="15135" windowHeight="9300"/>
  </bookViews>
  <sheets>
    <sheet name="جدول " sheetId="1" r:id="rId1"/>
  </sheets>
  <definedNames>
    <definedName name="_xlnm._FilterDatabase" localSheetId="0" hidden="1">'جدول '!$B$5:$L$35</definedName>
  </definedNames>
  <calcPr calcId="152511"/>
</workbook>
</file>

<file path=xl/calcChain.xml><?xml version="1.0" encoding="utf-8"?>
<calcChain xmlns="http://schemas.openxmlformats.org/spreadsheetml/2006/main">
  <c r="F4" i="1" l="1"/>
  <c r="M4" i="1"/>
  <c r="N4" i="1"/>
  <c r="O4" i="1"/>
  <c r="L35" i="1" l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5" i="1"/>
  <c r="L4" i="1" l="1"/>
  <c r="C4" i="1"/>
  <c r="D4" i="1"/>
  <c r="G4" i="1"/>
  <c r="H4" i="1"/>
  <c r="I4" i="1"/>
  <c r="J4" i="1"/>
  <c r="K4" i="1"/>
</calcChain>
</file>

<file path=xl/sharedStrings.xml><?xml version="1.0" encoding="utf-8"?>
<sst xmlns="http://schemas.openxmlformats.org/spreadsheetml/2006/main" count="50" uniqueCount="49">
  <si>
    <t xml:space="preserve">آذربایجان غربی </t>
  </si>
  <si>
    <t xml:space="preserve">اردبیل </t>
  </si>
  <si>
    <t xml:space="preserve">اصفهان </t>
  </si>
  <si>
    <t xml:space="preserve">ایلام </t>
  </si>
  <si>
    <t xml:space="preserve">بوشهر </t>
  </si>
  <si>
    <t xml:space="preserve">تهران </t>
  </si>
  <si>
    <t xml:space="preserve">چهارمحال و بختیاری </t>
  </si>
  <si>
    <t>خراسان جنوبی</t>
  </si>
  <si>
    <t>خراسان رضوی</t>
  </si>
  <si>
    <t>خراسان شمالی</t>
  </si>
  <si>
    <t xml:space="preserve">خوزستان </t>
  </si>
  <si>
    <t xml:space="preserve">زنجان </t>
  </si>
  <si>
    <t xml:space="preserve">سمنان </t>
  </si>
  <si>
    <t xml:space="preserve">سیستان و بلوچستان </t>
  </si>
  <si>
    <t xml:space="preserve">فارس </t>
  </si>
  <si>
    <t xml:space="preserve">قزوین </t>
  </si>
  <si>
    <t xml:space="preserve">قم </t>
  </si>
  <si>
    <t xml:space="preserve">کردستان </t>
  </si>
  <si>
    <t xml:space="preserve">کرمان </t>
  </si>
  <si>
    <t xml:space="preserve">کرمانشاه </t>
  </si>
  <si>
    <t xml:space="preserve">کهکیلویه و بویراحمد </t>
  </si>
  <si>
    <t xml:space="preserve">گلستان </t>
  </si>
  <si>
    <t xml:space="preserve">گیلان </t>
  </si>
  <si>
    <t xml:space="preserve">لرستان </t>
  </si>
  <si>
    <t xml:space="preserve">مازندران </t>
  </si>
  <si>
    <t xml:space="preserve">مرکزی </t>
  </si>
  <si>
    <t xml:space="preserve">هرمزگان </t>
  </si>
  <si>
    <t xml:space="preserve">همدان </t>
  </si>
  <si>
    <t xml:space="preserve">یزد </t>
  </si>
  <si>
    <t>البرز</t>
  </si>
  <si>
    <t>تعداد کل ناوگان ماشین آلات</t>
  </si>
  <si>
    <t>تعداد ناوگان ماشین آلات فعال</t>
  </si>
  <si>
    <t>عمر ناوگان</t>
  </si>
  <si>
    <t>عمران روستایی</t>
  </si>
  <si>
    <t>بازسازی</t>
  </si>
  <si>
    <t>پیمانی</t>
  </si>
  <si>
    <t>ردیف</t>
  </si>
  <si>
    <t>استان</t>
  </si>
  <si>
    <t>کارکرد ماشین آلات (مطابق سامانه AVL)/ روز-ماشین</t>
  </si>
  <si>
    <t>کل کشور</t>
  </si>
  <si>
    <t xml:space="preserve">آذربایجان شرقی </t>
  </si>
  <si>
    <t>نهضت ملی/مسکن شهری</t>
  </si>
  <si>
    <t>آمار عملکرد امور ماشین آلات بنیاد مسکن انقلاب اسلامی استان ها 6 ماهه سال 1405</t>
  </si>
  <si>
    <t>درآمد</t>
  </si>
  <si>
    <t>هزینه</t>
  </si>
  <si>
    <t>سود</t>
  </si>
  <si>
    <t>بودجه عملکرد ماشین‌آلات(میلیارد تومان)</t>
  </si>
  <si>
    <t>سرمایه ماشین آلات (میلیارد تومان)</t>
  </si>
  <si>
    <t>تعداد پروژه های اتمام یافته(از ابتدای سال) و در دست اجرا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</si>
</sst>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9" x14ac:knownFonts="1">
    <font>
      <sz val="10"/>
      <name val="Arial"/>
    </font>
    <font>
      <sz val="8"/>
      <name val="Arial"/>
      <family val="2"/>
    </font>
    <font>
      <sz val="12"/>
      <name val="B Lotus"/>
      <charset val="178"/>
    </font>
    <font>
      <sz val="12"/>
      <name val="B Traffic"/>
      <charset val="178"/>
    </font>
    <font>
      <b/>
      <sz val="14"/>
      <name val="B Titr"/>
      <charset val="178"/>
    </font>
    <font>
      <b/>
      <sz val="12"/>
      <name val="B Nazanin"/>
      <charset val="178"/>
    </font>
    <font>
      <b/>
      <sz val="11"/>
      <name val="B Nazanin"/>
      <charset val="178"/>
    </font>
    <font>
      <b/>
      <sz val="12"/>
      <color theme="1"/>
      <name val="B Nazanin"/>
      <charset val="178"/>
    </font>
    <font>
      <b/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2" fillId="0" borderId="0" xfId="0" applyFont="1" applyAlignment="1">
      <alignment horizontal="left"/>
    </xf>
    <xf numFmtId="0" fontId="3" fillId="5" borderId="4" xfId="0" applyFont="1" applyFill="1" applyBorder="1" applyAlignment="1">
      <alignment horizontal="center" vertical="center"/>
    </xf>
    <xf numFmtId="2" fontId="3" fillId="5" borderId="4" xfId="0" applyNumberFormat="1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2" fontId="5" fillId="6" borderId="2" xfId="0" applyNumberFormat="1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6" borderId="6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2" fontId="5" fillId="0" borderId="2" xfId="0" applyNumberFormat="1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2" fontId="5" fillId="2" borderId="2" xfId="0" applyNumberFormat="1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2" fontId="5" fillId="3" borderId="2" xfId="0" applyNumberFormat="1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2" fontId="5" fillId="2" borderId="3" xfId="0" applyNumberFormat="1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2" fontId="5" fillId="2" borderId="9" xfId="0" applyNumberFormat="1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3" fontId="5" fillId="0" borderId="2" xfId="0" applyNumberFormat="1" applyFont="1" applyFill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 wrapText="1"/>
    </xf>
    <xf numFmtId="0" fontId="6" fillId="0" borderId="13" xfId="0" applyFont="1" applyBorder="1" applyAlignment="1">
      <alignment horizontal="right" readingOrder="1"/>
    </xf>
    <xf numFmtId="0" fontId="8" fillId="0" borderId="13" xfId="0" applyFont="1" applyBorder="1" applyAlignment="1">
      <alignment horizontal="right" readingOrder="1"/>
    </xf>
    <xf numFmtId="0" fontId="3" fillId="5" borderId="12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6" fillId="4" borderId="9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6" fillId="4" borderId="11" xfId="0" applyFont="1" applyFill="1" applyBorder="1" applyAlignment="1">
      <alignment horizontal="center" vertical="center" wrapText="1"/>
    </xf>
    <xf numFmtId="0" fontId="6" fillId="4" borderId="8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4" borderId="14" xfId="0" applyFont="1" applyFill="1" applyBorder="1" applyAlignment="1">
      <alignment horizontal="center" vertical="center" wrapText="1"/>
    </xf>
    <xf numFmtId="0" fontId="6" fillId="4" borderId="15" xfId="0" applyFont="1" applyFill="1" applyBorder="1" applyAlignment="1">
      <alignment horizontal="center" vertical="center" wrapText="1"/>
    </xf>
    <xf numFmtId="164" fontId="3" fillId="5" borderId="4" xfId="0" applyNumberFormat="1" applyFont="1" applyFill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164" fontId="3" fillId="5" borderId="10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55"/>
  <sheetViews>
    <sheetView rightToLeft="1" tabSelected="1" workbookViewId="0">
      <pane ySplit="3" topLeftCell="A4" activePane="bottomLeft" state="frozen"/>
      <selection pane="bottomLeft" activeCell="H2" sqref="H2:K2"/>
    </sheetView>
  </sheetViews>
  <sheetFormatPr defaultRowHeight="12.75" x14ac:dyDescent="0.2"/>
  <cols>
    <col min="1" max="1" width="5.5703125" customWidth="1"/>
    <col min="2" max="2" width="16.7109375" bestFit="1" customWidth="1"/>
    <col min="3" max="3" width="12.140625" customWidth="1"/>
    <col min="4" max="4" width="14" customWidth="1"/>
    <col min="5" max="5" width="10.140625" customWidth="1"/>
    <col min="6" max="6" width="16.140625" customWidth="1"/>
    <col min="7" max="7" width="22" customWidth="1"/>
    <col min="8" max="8" width="10.7109375" customWidth="1"/>
    <col min="9" max="9" width="14.7109375" customWidth="1"/>
    <col min="10" max="10" width="11.5703125" customWidth="1"/>
    <col min="11" max="11" width="13.5703125" customWidth="1"/>
    <col min="12" max="12" width="19.85546875" hidden="1" customWidth="1"/>
    <col min="13" max="15" width="19.42578125" customWidth="1"/>
  </cols>
  <sheetData>
    <row r="1" spans="1:15" ht="51" customHeight="1" thickBot="1" x14ac:dyDescent="0.25">
      <c r="A1" s="50" t="s">
        <v>42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2"/>
    </row>
    <row r="2" spans="1:15" ht="39.75" customHeight="1" x14ac:dyDescent="0.2">
      <c r="A2" s="45" t="s">
        <v>36</v>
      </c>
      <c r="B2" s="42" t="s">
        <v>37</v>
      </c>
      <c r="C2" s="42" t="s">
        <v>30</v>
      </c>
      <c r="D2" s="42" t="s">
        <v>31</v>
      </c>
      <c r="E2" s="42" t="s">
        <v>32</v>
      </c>
      <c r="F2" s="42" t="s">
        <v>47</v>
      </c>
      <c r="G2" s="42" t="s">
        <v>38</v>
      </c>
      <c r="H2" s="42" t="s">
        <v>48</v>
      </c>
      <c r="I2" s="42"/>
      <c r="J2" s="42"/>
      <c r="K2" s="42"/>
      <c r="L2" s="47" t="s">
        <v>46</v>
      </c>
      <c r="M2" s="42"/>
      <c r="N2" s="42"/>
      <c r="O2" s="44"/>
    </row>
    <row r="3" spans="1:15" ht="55.5" customHeight="1" thickBot="1" x14ac:dyDescent="0.25">
      <c r="A3" s="46"/>
      <c r="B3" s="43"/>
      <c r="C3" s="43"/>
      <c r="D3" s="43"/>
      <c r="E3" s="43"/>
      <c r="F3" s="43"/>
      <c r="G3" s="43"/>
      <c r="H3" s="37" t="s">
        <v>33</v>
      </c>
      <c r="I3" s="37" t="s">
        <v>41</v>
      </c>
      <c r="J3" s="37" t="s">
        <v>34</v>
      </c>
      <c r="K3" s="37" t="s">
        <v>35</v>
      </c>
      <c r="L3" s="48" t="s">
        <v>33</v>
      </c>
      <c r="M3" s="37" t="s">
        <v>43</v>
      </c>
      <c r="N3" s="37" t="s">
        <v>44</v>
      </c>
      <c r="O3" s="24" t="s">
        <v>45</v>
      </c>
    </row>
    <row r="4" spans="1:15" ht="25.5" customHeight="1" thickBot="1" x14ac:dyDescent="0.25">
      <c r="A4" s="40" t="s">
        <v>39</v>
      </c>
      <c r="B4" s="41"/>
      <c r="C4" s="25">
        <f>SUM(C5:C35)</f>
        <v>1496</v>
      </c>
      <c r="D4" s="2">
        <f>SUM(D5:D35)</f>
        <v>1383</v>
      </c>
      <c r="E4" s="3">
        <v>17.47</v>
      </c>
      <c r="F4" s="49">
        <f t="shared" ref="F4:O4" si="0">SUM(F5:F35)</f>
        <v>14790.815000000001</v>
      </c>
      <c r="G4" s="2">
        <f t="shared" si="0"/>
        <v>135563</v>
      </c>
      <c r="H4" s="36">
        <f t="shared" si="0"/>
        <v>1683</v>
      </c>
      <c r="I4" s="36">
        <f t="shared" si="0"/>
        <v>162</v>
      </c>
      <c r="J4" s="36">
        <f t="shared" si="0"/>
        <v>85</v>
      </c>
      <c r="K4" s="36">
        <f t="shared" si="0"/>
        <v>171</v>
      </c>
      <c r="L4" s="36">
        <f t="shared" si="0"/>
        <v>3092.1584062316178</v>
      </c>
      <c r="M4" s="49">
        <f t="shared" si="0"/>
        <v>5856.3399999999992</v>
      </c>
      <c r="N4" s="49">
        <f t="shared" si="0"/>
        <v>3265.2049999999999</v>
      </c>
      <c r="O4" s="53">
        <f t="shared" si="0"/>
        <v>2591.1349999999998</v>
      </c>
    </row>
    <row r="5" spans="1:15" ht="18.75" customHeight="1" x14ac:dyDescent="0.2">
      <c r="A5" s="4">
        <v>1</v>
      </c>
      <c r="B5" s="31" t="s">
        <v>1</v>
      </c>
      <c r="C5" s="31">
        <v>48</v>
      </c>
      <c r="D5" s="31">
        <v>48</v>
      </c>
      <c r="E5" s="32">
        <v>16.9375</v>
      </c>
      <c r="F5" s="33">
        <v>638</v>
      </c>
      <c r="G5" s="33">
        <v>5754</v>
      </c>
      <c r="H5" s="33">
        <v>59</v>
      </c>
      <c r="I5" s="35">
        <v>0</v>
      </c>
      <c r="J5" s="35">
        <v>0</v>
      </c>
      <c r="K5" s="35">
        <v>4</v>
      </c>
      <c r="L5">
        <f>G5/D5</f>
        <v>119.875</v>
      </c>
      <c r="M5" s="19">
        <v>61.54</v>
      </c>
      <c r="N5" s="19">
        <v>38.64</v>
      </c>
      <c r="O5" s="20">
        <v>22.9</v>
      </c>
    </row>
    <row r="6" spans="1:15" ht="19.5" customHeight="1" x14ac:dyDescent="0.2">
      <c r="A6" s="5">
        <v>2</v>
      </c>
      <c r="B6" s="6" t="s">
        <v>2</v>
      </c>
      <c r="C6" s="6">
        <v>41</v>
      </c>
      <c r="D6" s="6">
        <v>36</v>
      </c>
      <c r="E6" s="7">
        <v>17.512195121951219</v>
      </c>
      <c r="F6" s="8">
        <v>225.1</v>
      </c>
      <c r="G6" s="8">
        <v>3306</v>
      </c>
      <c r="H6" s="8">
        <v>6</v>
      </c>
      <c r="I6" s="8">
        <v>7</v>
      </c>
      <c r="J6" s="8">
        <v>2</v>
      </c>
      <c r="K6" s="8">
        <v>1</v>
      </c>
      <c r="L6">
        <f>G6/D6</f>
        <v>91.833333333333329</v>
      </c>
      <c r="M6" s="8">
        <v>461.48</v>
      </c>
      <c r="N6" s="8">
        <v>374.11</v>
      </c>
      <c r="O6" s="9">
        <v>87.37</v>
      </c>
    </row>
    <row r="7" spans="1:15" ht="19.5" customHeight="1" x14ac:dyDescent="0.2">
      <c r="A7" s="10">
        <v>3</v>
      </c>
      <c r="B7" s="11" t="s">
        <v>29</v>
      </c>
      <c r="C7" s="12">
        <v>19</v>
      </c>
      <c r="D7" s="12">
        <v>14</v>
      </c>
      <c r="E7" s="13">
        <v>12.105263157894736</v>
      </c>
      <c r="F7" s="34">
        <v>274.8</v>
      </c>
      <c r="G7" s="34">
        <v>2444</v>
      </c>
      <c r="H7" s="14">
        <v>7</v>
      </c>
      <c r="I7" s="14">
        <v>3</v>
      </c>
      <c r="J7" s="14">
        <v>1</v>
      </c>
      <c r="K7" s="14">
        <v>1</v>
      </c>
      <c r="L7">
        <f>G7/D7</f>
        <v>174.57142857142858</v>
      </c>
      <c r="M7" s="19">
        <v>118.87</v>
      </c>
      <c r="N7" s="19">
        <v>30.95</v>
      </c>
      <c r="O7" s="20">
        <v>87.92</v>
      </c>
    </row>
    <row r="8" spans="1:15" ht="19.5" customHeight="1" x14ac:dyDescent="0.2">
      <c r="A8" s="5">
        <v>4</v>
      </c>
      <c r="B8" s="6" t="s">
        <v>3</v>
      </c>
      <c r="C8" s="6">
        <v>42</v>
      </c>
      <c r="D8" s="6">
        <v>39</v>
      </c>
      <c r="E8" s="7">
        <v>15.238095238095237</v>
      </c>
      <c r="F8" s="8">
        <v>557</v>
      </c>
      <c r="G8" s="8">
        <v>5193</v>
      </c>
      <c r="H8" s="8">
        <v>82</v>
      </c>
      <c r="I8" s="8">
        <v>0</v>
      </c>
      <c r="J8" s="8">
        <v>0</v>
      </c>
      <c r="K8" s="8">
        <v>1</v>
      </c>
      <c r="L8">
        <f>G8/D8</f>
        <v>133.15384615384616</v>
      </c>
      <c r="M8" s="8">
        <v>109.57</v>
      </c>
      <c r="N8" s="8">
        <v>36.909999999999997</v>
      </c>
      <c r="O8" s="9">
        <v>72.66</v>
      </c>
    </row>
    <row r="9" spans="1:15" ht="19.5" customHeight="1" x14ac:dyDescent="0.2">
      <c r="A9" s="10">
        <v>5</v>
      </c>
      <c r="B9" s="15" t="s">
        <v>40</v>
      </c>
      <c r="C9" s="15">
        <v>49</v>
      </c>
      <c r="D9" s="15">
        <v>48</v>
      </c>
      <c r="E9" s="16">
        <v>17.163265306122447</v>
      </c>
      <c r="F9" s="17">
        <v>444.3</v>
      </c>
      <c r="G9" s="17">
        <v>4645</v>
      </c>
      <c r="H9" s="18">
        <v>108</v>
      </c>
      <c r="I9" s="18">
        <v>12</v>
      </c>
      <c r="J9" s="18">
        <v>1</v>
      </c>
      <c r="K9" s="18">
        <v>1</v>
      </c>
      <c r="L9">
        <f>G9/D9</f>
        <v>96.770833333333329</v>
      </c>
      <c r="M9" s="19">
        <v>167.97</v>
      </c>
      <c r="N9" s="19">
        <v>56.97</v>
      </c>
      <c r="O9" s="20">
        <v>111</v>
      </c>
    </row>
    <row r="10" spans="1:15" ht="19.5" customHeight="1" x14ac:dyDescent="0.2">
      <c r="A10" s="5">
        <v>6</v>
      </c>
      <c r="B10" s="6" t="s">
        <v>0</v>
      </c>
      <c r="C10" s="6">
        <v>51</v>
      </c>
      <c r="D10" s="6">
        <v>42</v>
      </c>
      <c r="E10" s="7">
        <v>18</v>
      </c>
      <c r="F10" s="8">
        <v>500</v>
      </c>
      <c r="G10" s="8">
        <v>5972</v>
      </c>
      <c r="H10" s="8">
        <v>53</v>
      </c>
      <c r="I10" s="8">
        <v>14</v>
      </c>
      <c r="J10" s="8">
        <v>10</v>
      </c>
      <c r="K10" s="8">
        <v>4</v>
      </c>
      <c r="L10">
        <f>G10/D10</f>
        <v>142.1904761904762</v>
      </c>
      <c r="M10" s="8">
        <v>172.21</v>
      </c>
      <c r="N10" s="8">
        <v>102.56</v>
      </c>
      <c r="O10" s="9">
        <v>69.650000000000006</v>
      </c>
    </row>
    <row r="11" spans="1:15" ht="19.5" customHeight="1" x14ac:dyDescent="0.2">
      <c r="A11" s="10">
        <v>7</v>
      </c>
      <c r="B11" s="15" t="s">
        <v>4</v>
      </c>
      <c r="C11" s="15">
        <v>54</v>
      </c>
      <c r="D11" s="15">
        <v>42</v>
      </c>
      <c r="E11" s="16">
        <v>18.777777777777779</v>
      </c>
      <c r="F11" s="17">
        <v>633</v>
      </c>
      <c r="G11" s="17">
        <v>4210</v>
      </c>
      <c r="H11" s="17">
        <v>20</v>
      </c>
      <c r="I11" s="19">
        <v>2</v>
      </c>
      <c r="J11" s="19">
        <v>1</v>
      </c>
      <c r="K11" s="19">
        <v>0</v>
      </c>
      <c r="L11">
        <f>G11/D11</f>
        <v>100.23809523809524</v>
      </c>
      <c r="M11" s="19">
        <v>211.9</v>
      </c>
      <c r="N11" s="19">
        <v>110.38</v>
      </c>
      <c r="O11" s="20">
        <v>101.52000000000001</v>
      </c>
    </row>
    <row r="12" spans="1:15" ht="19.5" customHeight="1" x14ac:dyDescent="0.2">
      <c r="A12" s="5">
        <v>8</v>
      </c>
      <c r="B12" s="6" t="s">
        <v>5</v>
      </c>
      <c r="C12" s="6">
        <v>32</v>
      </c>
      <c r="D12" s="6">
        <v>30</v>
      </c>
      <c r="E12" s="7">
        <v>13.875</v>
      </c>
      <c r="F12" s="8">
        <v>122.8</v>
      </c>
      <c r="G12" s="8">
        <v>3001</v>
      </c>
      <c r="H12" s="8">
        <v>2</v>
      </c>
      <c r="I12" s="8">
        <v>2</v>
      </c>
      <c r="J12" s="8">
        <v>1</v>
      </c>
      <c r="K12" s="8">
        <v>2</v>
      </c>
      <c r="L12">
        <f>G12/D12</f>
        <v>100.03333333333333</v>
      </c>
      <c r="M12" s="8">
        <v>103.02</v>
      </c>
      <c r="N12" s="8">
        <v>33.47</v>
      </c>
      <c r="O12" s="9">
        <v>69.55</v>
      </c>
    </row>
    <row r="13" spans="1:15" ht="19.5" customHeight="1" x14ac:dyDescent="0.2">
      <c r="A13" s="10">
        <v>9</v>
      </c>
      <c r="B13" s="12" t="s">
        <v>6</v>
      </c>
      <c r="C13" s="12">
        <v>54</v>
      </c>
      <c r="D13" s="12">
        <v>52</v>
      </c>
      <c r="E13" s="13">
        <v>16.055555555555557</v>
      </c>
      <c r="F13" s="14">
        <v>754.5</v>
      </c>
      <c r="G13" s="14">
        <v>5824</v>
      </c>
      <c r="H13" s="14">
        <v>3</v>
      </c>
      <c r="I13" s="14">
        <v>14</v>
      </c>
      <c r="J13" s="14">
        <v>0</v>
      </c>
      <c r="K13" s="14">
        <v>4</v>
      </c>
      <c r="L13">
        <f>G13/D13</f>
        <v>112</v>
      </c>
      <c r="M13" s="19">
        <v>205.04</v>
      </c>
      <c r="N13" s="19">
        <v>116.95</v>
      </c>
      <c r="O13" s="20">
        <v>88.089999999999989</v>
      </c>
    </row>
    <row r="14" spans="1:15" ht="19.5" customHeight="1" x14ac:dyDescent="0.2">
      <c r="A14" s="5">
        <v>10</v>
      </c>
      <c r="B14" s="6" t="s">
        <v>7</v>
      </c>
      <c r="C14" s="6">
        <v>52</v>
      </c>
      <c r="D14" s="6">
        <v>52</v>
      </c>
      <c r="E14" s="7">
        <v>16.176470588235293</v>
      </c>
      <c r="F14" s="8">
        <v>665.1</v>
      </c>
      <c r="G14" s="8">
        <v>5967</v>
      </c>
      <c r="H14" s="8">
        <v>16</v>
      </c>
      <c r="I14" s="8">
        <v>8</v>
      </c>
      <c r="J14" s="8">
        <v>0</v>
      </c>
      <c r="K14" s="8">
        <v>6</v>
      </c>
      <c r="L14">
        <f>G14/D14</f>
        <v>114.75</v>
      </c>
      <c r="M14" s="8">
        <v>141.97</v>
      </c>
      <c r="N14" s="8">
        <v>36.104999999999997</v>
      </c>
      <c r="O14" s="9">
        <v>105.86500000000001</v>
      </c>
    </row>
    <row r="15" spans="1:15" ht="19.5" customHeight="1" x14ac:dyDescent="0.2">
      <c r="A15" s="10">
        <v>11</v>
      </c>
      <c r="B15" s="15" t="s">
        <v>8</v>
      </c>
      <c r="C15" s="15">
        <v>98</v>
      </c>
      <c r="D15" s="15">
        <v>96</v>
      </c>
      <c r="E15" s="16">
        <v>22.846938775510203</v>
      </c>
      <c r="F15" s="17">
        <v>935.26499999999999</v>
      </c>
      <c r="G15" s="17">
        <v>10767</v>
      </c>
      <c r="H15" s="17">
        <v>3</v>
      </c>
      <c r="I15" s="19">
        <v>0</v>
      </c>
      <c r="J15" s="19">
        <v>0</v>
      </c>
      <c r="K15" s="19">
        <v>12</v>
      </c>
      <c r="L15">
        <f>G15/D15</f>
        <v>112.15625</v>
      </c>
      <c r="M15" s="19">
        <v>429.51</v>
      </c>
      <c r="N15" s="19">
        <v>178.08</v>
      </c>
      <c r="O15" s="20">
        <v>251.42999999999998</v>
      </c>
    </row>
    <row r="16" spans="1:15" ht="19.5" customHeight="1" x14ac:dyDescent="0.2">
      <c r="A16" s="5">
        <v>12</v>
      </c>
      <c r="B16" s="6" t="s">
        <v>9</v>
      </c>
      <c r="C16" s="6">
        <v>48</v>
      </c>
      <c r="D16" s="6">
        <v>48</v>
      </c>
      <c r="E16" s="7">
        <v>20.020833333333332</v>
      </c>
      <c r="F16" s="8">
        <v>603</v>
      </c>
      <c r="G16" s="8">
        <v>4936</v>
      </c>
      <c r="H16" s="8">
        <v>87</v>
      </c>
      <c r="I16" s="8">
        <v>0</v>
      </c>
      <c r="J16" s="8">
        <v>1</v>
      </c>
      <c r="K16" s="8">
        <v>1</v>
      </c>
      <c r="L16">
        <f>G16/D16</f>
        <v>102.83333333333333</v>
      </c>
      <c r="M16" s="8">
        <v>138.84</v>
      </c>
      <c r="N16" s="8">
        <v>101.81</v>
      </c>
      <c r="O16" s="9">
        <v>37.03</v>
      </c>
    </row>
    <row r="17" spans="1:15" ht="19.5" customHeight="1" x14ac:dyDescent="0.2">
      <c r="A17" s="10">
        <v>13</v>
      </c>
      <c r="B17" s="11" t="s">
        <v>10</v>
      </c>
      <c r="C17" s="15">
        <v>66</v>
      </c>
      <c r="D17" s="15">
        <v>58</v>
      </c>
      <c r="E17" s="16">
        <v>20.727272727272727</v>
      </c>
      <c r="F17" s="17">
        <v>637</v>
      </c>
      <c r="G17" s="14">
        <v>2923</v>
      </c>
      <c r="H17" s="17">
        <v>140</v>
      </c>
      <c r="I17" s="19">
        <v>6</v>
      </c>
      <c r="J17" s="19">
        <v>1</v>
      </c>
      <c r="K17" s="19">
        <v>2</v>
      </c>
      <c r="L17">
        <f>G17/D17</f>
        <v>50.396551724137929</v>
      </c>
      <c r="M17" s="19">
        <v>873.82</v>
      </c>
      <c r="N17" s="19">
        <v>672.28</v>
      </c>
      <c r="O17" s="20">
        <v>201.54000000000008</v>
      </c>
    </row>
    <row r="18" spans="1:15" ht="19.5" customHeight="1" x14ac:dyDescent="0.2">
      <c r="A18" s="5">
        <v>14</v>
      </c>
      <c r="B18" s="6" t="s">
        <v>11</v>
      </c>
      <c r="C18" s="6">
        <v>45</v>
      </c>
      <c r="D18" s="6">
        <v>34</v>
      </c>
      <c r="E18" s="7">
        <v>15.888888888888889</v>
      </c>
      <c r="F18" s="8">
        <v>353.5</v>
      </c>
      <c r="G18" s="8">
        <v>3418</v>
      </c>
      <c r="H18" s="8">
        <v>13</v>
      </c>
      <c r="I18" s="8">
        <v>0</v>
      </c>
      <c r="J18" s="8">
        <v>1</v>
      </c>
      <c r="K18" s="8">
        <v>24</v>
      </c>
      <c r="L18">
        <f>G18/D18</f>
        <v>100.52941176470588</v>
      </c>
      <c r="M18" s="8">
        <v>35.270000000000003</v>
      </c>
      <c r="N18" s="8">
        <v>29.45</v>
      </c>
      <c r="O18" s="9">
        <v>5.8200000000000038</v>
      </c>
    </row>
    <row r="19" spans="1:15" ht="19.5" customHeight="1" x14ac:dyDescent="0.2">
      <c r="A19" s="10">
        <v>15</v>
      </c>
      <c r="B19" s="11" t="s">
        <v>12</v>
      </c>
      <c r="C19" s="11">
        <v>32</v>
      </c>
      <c r="D19" s="11">
        <v>24</v>
      </c>
      <c r="E19" s="21">
        <v>16.9375</v>
      </c>
      <c r="F19" s="22">
        <v>420</v>
      </c>
      <c r="G19" s="22">
        <v>2649</v>
      </c>
      <c r="H19" s="17">
        <v>47</v>
      </c>
      <c r="I19" s="19">
        <v>2</v>
      </c>
      <c r="J19" s="19">
        <v>0</v>
      </c>
      <c r="K19" s="19">
        <v>2</v>
      </c>
      <c r="L19">
        <f>G19/D19</f>
        <v>110.375</v>
      </c>
      <c r="M19" s="19">
        <v>59.56</v>
      </c>
      <c r="N19" s="19">
        <v>55.28</v>
      </c>
      <c r="O19" s="20">
        <v>4.2800000000000011</v>
      </c>
    </row>
    <row r="20" spans="1:15" ht="19.5" customHeight="1" x14ac:dyDescent="0.2">
      <c r="A20" s="5">
        <v>16</v>
      </c>
      <c r="B20" s="6" t="s">
        <v>13</v>
      </c>
      <c r="C20" s="6">
        <v>65</v>
      </c>
      <c r="D20" s="6">
        <v>59</v>
      </c>
      <c r="E20" s="7">
        <v>18.584615384615386</v>
      </c>
      <c r="F20" s="8">
        <v>570</v>
      </c>
      <c r="G20" s="8">
        <v>4765</v>
      </c>
      <c r="H20" s="8">
        <v>31</v>
      </c>
      <c r="I20" s="8">
        <v>0</v>
      </c>
      <c r="J20" s="8">
        <v>0</v>
      </c>
      <c r="K20" s="8">
        <v>9</v>
      </c>
      <c r="L20">
        <f>G20/D20</f>
        <v>80.762711864406782</v>
      </c>
      <c r="M20" s="8">
        <v>112.8</v>
      </c>
      <c r="N20" s="8">
        <v>69.66</v>
      </c>
      <c r="O20" s="9">
        <v>43.14</v>
      </c>
    </row>
    <row r="21" spans="1:15" ht="19.5" customHeight="1" x14ac:dyDescent="0.2">
      <c r="A21" s="10">
        <v>17</v>
      </c>
      <c r="B21" s="11" t="s">
        <v>14</v>
      </c>
      <c r="C21" s="11">
        <v>46</v>
      </c>
      <c r="D21" s="11">
        <v>44</v>
      </c>
      <c r="E21" s="21">
        <v>15.391304347826088</v>
      </c>
      <c r="F21" s="22">
        <v>568.5</v>
      </c>
      <c r="G21" s="22">
        <v>3295</v>
      </c>
      <c r="H21" s="22">
        <v>265</v>
      </c>
      <c r="I21" s="22">
        <v>11</v>
      </c>
      <c r="J21" s="22">
        <v>3</v>
      </c>
      <c r="K21" s="22">
        <v>1</v>
      </c>
      <c r="L21">
        <f>G21/D21</f>
        <v>74.88636363636364</v>
      </c>
      <c r="M21" s="19">
        <v>144.12</v>
      </c>
      <c r="N21" s="19">
        <v>87.09</v>
      </c>
      <c r="O21" s="20">
        <v>57.03</v>
      </c>
    </row>
    <row r="22" spans="1:15" ht="19.5" customHeight="1" x14ac:dyDescent="0.2">
      <c r="A22" s="5">
        <v>18</v>
      </c>
      <c r="B22" s="6" t="s">
        <v>15</v>
      </c>
      <c r="C22" s="6">
        <v>44</v>
      </c>
      <c r="D22" s="6">
        <v>43</v>
      </c>
      <c r="E22" s="7">
        <v>13.931818181818182</v>
      </c>
      <c r="F22" s="8">
        <v>368.8</v>
      </c>
      <c r="G22" s="8">
        <v>4057</v>
      </c>
      <c r="H22" s="8">
        <v>15</v>
      </c>
      <c r="I22" s="8">
        <v>1</v>
      </c>
      <c r="J22" s="8">
        <v>2</v>
      </c>
      <c r="K22" s="8">
        <v>3</v>
      </c>
      <c r="L22">
        <f>G22/D22</f>
        <v>94.348837209302332</v>
      </c>
      <c r="M22" s="8">
        <v>162.26</v>
      </c>
      <c r="N22" s="8">
        <v>74.11</v>
      </c>
      <c r="O22" s="9">
        <v>88.149999999999991</v>
      </c>
    </row>
    <row r="23" spans="1:15" ht="19.5" customHeight="1" x14ac:dyDescent="0.2">
      <c r="A23" s="10">
        <v>19</v>
      </c>
      <c r="B23" s="15" t="s">
        <v>16</v>
      </c>
      <c r="C23" s="15">
        <v>39</v>
      </c>
      <c r="D23" s="15">
        <v>39</v>
      </c>
      <c r="E23" s="16">
        <v>11.743589743589743</v>
      </c>
      <c r="F23" s="17">
        <v>351.85</v>
      </c>
      <c r="G23" s="17">
        <v>4581</v>
      </c>
      <c r="H23" s="17">
        <v>1</v>
      </c>
      <c r="I23" s="19">
        <v>1</v>
      </c>
      <c r="J23" s="19">
        <v>0</v>
      </c>
      <c r="K23" s="19">
        <v>1</v>
      </c>
      <c r="L23">
        <f>G23/D23</f>
        <v>117.46153846153847</v>
      </c>
      <c r="M23" s="19">
        <v>358.17</v>
      </c>
      <c r="N23" s="19">
        <v>132.02000000000001</v>
      </c>
      <c r="O23" s="20">
        <v>226.15</v>
      </c>
    </row>
    <row r="24" spans="1:15" ht="19.5" customHeight="1" x14ac:dyDescent="0.2">
      <c r="A24" s="5">
        <v>20</v>
      </c>
      <c r="B24" s="6" t="s">
        <v>17</v>
      </c>
      <c r="C24" s="6">
        <v>50</v>
      </c>
      <c r="D24" s="6">
        <v>46</v>
      </c>
      <c r="E24" s="7">
        <v>14.553191489361701</v>
      </c>
      <c r="F24" s="8">
        <v>441.6</v>
      </c>
      <c r="G24" s="8">
        <v>4061</v>
      </c>
      <c r="H24" s="8">
        <v>23</v>
      </c>
      <c r="I24" s="8">
        <v>4</v>
      </c>
      <c r="J24" s="8">
        <v>13</v>
      </c>
      <c r="K24" s="8">
        <v>7</v>
      </c>
      <c r="L24">
        <f>G24/D24</f>
        <v>88.282608695652172</v>
      </c>
      <c r="M24" s="8">
        <v>179.87</v>
      </c>
      <c r="N24" s="8">
        <v>48.55</v>
      </c>
      <c r="O24" s="9">
        <v>131.32</v>
      </c>
    </row>
    <row r="25" spans="1:15" ht="19.5" customHeight="1" x14ac:dyDescent="0.2">
      <c r="A25" s="10">
        <v>21</v>
      </c>
      <c r="B25" s="15" t="s">
        <v>18</v>
      </c>
      <c r="C25" s="15">
        <v>31</v>
      </c>
      <c r="D25" s="15">
        <v>31</v>
      </c>
      <c r="E25" s="16">
        <v>14.516129032258064</v>
      </c>
      <c r="F25" s="17">
        <v>300.60000000000002</v>
      </c>
      <c r="G25" s="17">
        <v>2984</v>
      </c>
      <c r="H25" s="17">
        <v>35</v>
      </c>
      <c r="I25" s="19">
        <v>4</v>
      </c>
      <c r="J25" s="19">
        <v>0</v>
      </c>
      <c r="K25" s="19">
        <v>7</v>
      </c>
      <c r="L25">
        <f>G25/D25</f>
        <v>96.258064516129039</v>
      </c>
      <c r="M25" s="19">
        <v>59.8</v>
      </c>
      <c r="N25" s="19">
        <v>31.21</v>
      </c>
      <c r="O25" s="20">
        <v>28.589999999999996</v>
      </c>
    </row>
    <row r="26" spans="1:15" ht="19.5" customHeight="1" x14ac:dyDescent="0.2">
      <c r="A26" s="5">
        <v>22</v>
      </c>
      <c r="B26" s="6" t="s">
        <v>19</v>
      </c>
      <c r="C26" s="6">
        <v>63</v>
      </c>
      <c r="D26" s="6">
        <v>61</v>
      </c>
      <c r="E26" s="7">
        <v>20.19047619047619</v>
      </c>
      <c r="F26" s="8">
        <v>316.8</v>
      </c>
      <c r="G26" s="8">
        <v>5963</v>
      </c>
      <c r="H26" s="8">
        <v>78</v>
      </c>
      <c r="I26" s="8">
        <v>4</v>
      </c>
      <c r="J26" s="8">
        <v>1</v>
      </c>
      <c r="K26" s="8">
        <v>1</v>
      </c>
      <c r="L26">
        <f>G26/D26</f>
        <v>97.754098360655732</v>
      </c>
      <c r="M26" s="8">
        <v>132.16999999999999</v>
      </c>
      <c r="N26" s="8">
        <v>75.02</v>
      </c>
      <c r="O26" s="9">
        <v>57.149999999999991</v>
      </c>
    </row>
    <row r="27" spans="1:15" ht="19.5" customHeight="1" x14ac:dyDescent="0.2">
      <c r="A27" s="10">
        <v>23</v>
      </c>
      <c r="B27" s="15" t="s">
        <v>20</v>
      </c>
      <c r="C27" s="15">
        <v>40</v>
      </c>
      <c r="D27" s="15">
        <v>36</v>
      </c>
      <c r="E27" s="16">
        <v>18.675000000000001</v>
      </c>
      <c r="F27" s="17">
        <v>344.5</v>
      </c>
      <c r="G27" s="17">
        <v>2005</v>
      </c>
      <c r="H27" s="17">
        <v>7</v>
      </c>
      <c r="I27" s="19">
        <v>2</v>
      </c>
      <c r="J27" s="19">
        <v>1</v>
      </c>
      <c r="K27" s="19">
        <v>2</v>
      </c>
      <c r="L27">
        <f>G27/D27</f>
        <v>55.694444444444443</v>
      </c>
      <c r="M27" s="19">
        <v>72.58</v>
      </c>
      <c r="N27" s="19">
        <v>33.450000000000003</v>
      </c>
      <c r="O27" s="20">
        <v>39.129999999999995</v>
      </c>
    </row>
    <row r="28" spans="1:15" ht="19.5" customHeight="1" x14ac:dyDescent="0.2">
      <c r="A28" s="5">
        <v>24</v>
      </c>
      <c r="B28" s="6" t="s">
        <v>21</v>
      </c>
      <c r="C28" s="6">
        <v>54</v>
      </c>
      <c r="D28" s="6">
        <v>53</v>
      </c>
      <c r="E28" s="7">
        <v>16.537037037037038</v>
      </c>
      <c r="F28" s="8">
        <v>535.9</v>
      </c>
      <c r="G28" s="8">
        <v>5439</v>
      </c>
      <c r="H28" s="8">
        <v>58</v>
      </c>
      <c r="I28" s="8">
        <v>29</v>
      </c>
      <c r="J28" s="8">
        <v>6</v>
      </c>
      <c r="K28" s="8">
        <v>56</v>
      </c>
      <c r="L28">
        <f>G28/D28</f>
        <v>102.62264150943396</v>
      </c>
      <c r="M28" s="8">
        <v>116.29</v>
      </c>
      <c r="N28" s="8">
        <v>69.5</v>
      </c>
      <c r="O28" s="9">
        <v>46.790000000000006</v>
      </c>
    </row>
    <row r="29" spans="1:15" ht="19.5" customHeight="1" x14ac:dyDescent="0.2">
      <c r="A29" s="10">
        <v>25</v>
      </c>
      <c r="B29" s="15" t="s">
        <v>22</v>
      </c>
      <c r="C29" s="15">
        <v>43</v>
      </c>
      <c r="D29" s="15">
        <v>40</v>
      </c>
      <c r="E29" s="16">
        <v>17.13953488372093</v>
      </c>
      <c r="F29" s="17">
        <v>376.3</v>
      </c>
      <c r="G29" s="17">
        <v>925</v>
      </c>
      <c r="H29" s="17">
        <v>5</v>
      </c>
      <c r="I29" s="19">
        <v>2</v>
      </c>
      <c r="J29" s="19">
        <v>0</v>
      </c>
      <c r="K29" s="19">
        <v>6</v>
      </c>
      <c r="L29">
        <f>G29/D29</f>
        <v>23.125</v>
      </c>
      <c r="M29" s="19">
        <v>52.9</v>
      </c>
      <c r="N29" s="19">
        <v>41.47</v>
      </c>
      <c r="O29" s="20">
        <v>11.43</v>
      </c>
    </row>
    <row r="30" spans="1:15" ht="19.5" customHeight="1" x14ac:dyDescent="0.2">
      <c r="A30" s="5">
        <v>26</v>
      </c>
      <c r="B30" s="6" t="s">
        <v>23</v>
      </c>
      <c r="C30" s="6">
        <v>38</v>
      </c>
      <c r="D30" s="6">
        <v>29</v>
      </c>
      <c r="E30" s="7">
        <v>16.026315789473685</v>
      </c>
      <c r="F30" s="8">
        <v>476</v>
      </c>
      <c r="G30" s="8">
        <v>3328</v>
      </c>
      <c r="H30" s="8">
        <v>71</v>
      </c>
      <c r="I30" s="8">
        <v>5</v>
      </c>
      <c r="J30" s="8">
        <v>1</v>
      </c>
      <c r="K30" s="8">
        <v>4</v>
      </c>
      <c r="L30">
        <f>G30/D30</f>
        <v>114.75862068965517</v>
      </c>
      <c r="M30" s="8">
        <v>104</v>
      </c>
      <c r="N30" s="8">
        <v>74.099999999999994</v>
      </c>
      <c r="O30" s="9">
        <v>29.900000000000006</v>
      </c>
    </row>
    <row r="31" spans="1:15" ht="19.5" customHeight="1" x14ac:dyDescent="0.2">
      <c r="A31" s="10">
        <v>27</v>
      </c>
      <c r="B31" s="12" t="s">
        <v>24</v>
      </c>
      <c r="C31" s="15">
        <v>61</v>
      </c>
      <c r="D31" s="15">
        <v>54</v>
      </c>
      <c r="E31" s="16">
        <v>17.754098360655739</v>
      </c>
      <c r="F31" s="17">
        <v>373.9</v>
      </c>
      <c r="G31" s="17">
        <v>6916</v>
      </c>
      <c r="H31" s="17">
        <v>318</v>
      </c>
      <c r="I31" s="19">
        <v>0</v>
      </c>
      <c r="J31" s="19">
        <v>0</v>
      </c>
      <c r="K31" s="19">
        <v>5</v>
      </c>
      <c r="L31">
        <f>G31/D31</f>
        <v>128.07407407407408</v>
      </c>
      <c r="M31" s="19">
        <v>132.03</v>
      </c>
      <c r="N31" s="19">
        <v>59.06</v>
      </c>
      <c r="O31" s="20">
        <v>72.97</v>
      </c>
    </row>
    <row r="32" spans="1:15" ht="19.5" customHeight="1" x14ac:dyDescent="0.2">
      <c r="A32" s="5">
        <v>28</v>
      </c>
      <c r="B32" s="6" t="s">
        <v>25</v>
      </c>
      <c r="C32" s="6">
        <v>38</v>
      </c>
      <c r="D32" s="6">
        <v>37</v>
      </c>
      <c r="E32" s="7">
        <v>18.026315789473685</v>
      </c>
      <c r="F32" s="8">
        <v>420.5</v>
      </c>
      <c r="G32" s="8">
        <v>4132</v>
      </c>
      <c r="H32" s="8">
        <v>63</v>
      </c>
      <c r="I32" s="8">
        <v>9</v>
      </c>
      <c r="J32" s="8">
        <v>38</v>
      </c>
      <c r="K32" s="8">
        <v>0</v>
      </c>
      <c r="L32">
        <f>G32/D32</f>
        <v>111.67567567567568</v>
      </c>
      <c r="M32" s="8">
        <v>264</v>
      </c>
      <c r="N32" s="8">
        <v>147.30000000000001</v>
      </c>
      <c r="O32" s="9">
        <v>116.69999999999999</v>
      </c>
    </row>
    <row r="33" spans="1:15" ht="19.5" customHeight="1" x14ac:dyDescent="0.2">
      <c r="A33" s="10">
        <v>29</v>
      </c>
      <c r="B33" s="11" t="s">
        <v>26</v>
      </c>
      <c r="C33" s="11">
        <v>51</v>
      </c>
      <c r="D33" s="11">
        <v>49</v>
      </c>
      <c r="E33" s="21">
        <v>19.294117647058822</v>
      </c>
      <c r="F33" s="22">
        <v>442</v>
      </c>
      <c r="G33" s="17">
        <v>1537</v>
      </c>
      <c r="H33" s="17">
        <v>16</v>
      </c>
      <c r="I33" s="19">
        <v>6</v>
      </c>
      <c r="J33" s="19">
        <v>1</v>
      </c>
      <c r="K33" s="19">
        <v>4</v>
      </c>
      <c r="L33">
        <f>G33/D33</f>
        <v>31.367346938775512</v>
      </c>
      <c r="M33" s="19">
        <v>147.12</v>
      </c>
      <c r="N33" s="19">
        <v>55.6</v>
      </c>
      <c r="O33" s="20">
        <v>91.52000000000001</v>
      </c>
    </row>
    <row r="34" spans="1:15" ht="19.5" customHeight="1" x14ac:dyDescent="0.2">
      <c r="A34" s="5">
        <v>30</v>
      </c>
      <c r="B34" s="6" t="s">
        <v>27</v>
      </c>
      <c r="C34" s="6">
        <v>63</v>
      </c>
      <c r="D34" s="6">
        <v>60</v>
      </c>
      <c r="E34" s="7">
        <v>18.269841269841269</v>
      </c>
      <c r="F34" s="8">
        <v>655.20000000000005</v>
      </c>
      <c r="G34" s="8">
        <v>6412</v>
      </c>
      <c r="H34" s="8">
        <v>50</v>
      </c>
      <c r="I34" s="8">
        <v>6</v>
      </c>
      <c r="J34" s="8">
        <v>0</v>
      </c>
      <c r="K34" s="8">
        <v>0</v>
      </c>
      <c r="L34">
        <f>G34/D34</f>
        <v>106.86666666666666</v>
      </c>
      <c r="M34" s="8">
        <v>387.93</v>
      </c>
      <c r="N34" s="8">
        <v>258.25</v>
      </c>
      <c r="O34" s="9">
        <v>129.68</v>
      </c>
    </row>
    <row r="35" spans="1:15" ht="19.5" customHeight="1" thickBot="1" x14ac:dyDescent="0.25">
      <c r="A35" s="23">
        <v>31</v>
      </c>
      <c r="B35" s="26" t="s">
        <v>28</v>
      </c>
      <c r="C35" s="26">
        <v>39</v>
      </c>
      <c r="D35" s="26">
        <v>39</v>
      </c>
      <c r="E35" s="27">
        <v>17.153846153846153</v>
      </c>
      <c r="F35" s="28">
        <v>485</v>
      </c>
      <c r="G35" s="28">
        <v>4154</v>
      </c>
      <c r="H35" s="28">
        <v>1</v>
      </c>
      <c r="I35" s="29">
        <v>8</v>
      </c>
      <c r="J35" s="29">
        <v>0</v>
      </c>
      <c r="K35" s="29">
        <v>0</v>
      </c>
      <c r="L35">
        <f>G35/D35</f>
        <v>106.51282051282051</v>
      </c>
      <c r="M35" s="29">
        <v>139.72999999999999</v>
      </c>
      <c r="N35" s="29">
        <v>34.869999999999997</v>
      </c>
      <c r="O35" s="30">
        <v>104.85999999999999</v>
      </c>
    </row>
    <row r="36" spans="1:15" ht="27" customHeight="1" x14ac:dyDescent="0.5">
      <c r="A36" s="38"/>
      <c r="B36" s="39"/>
      <c r="C36" s="39"/>
      <c r="D36" s="39"/>
      <c r="E36" s="39"/>
      <c r="F36" s="39"/>
      <c r="G36" s="39"/>
      <c r="H36" s="39"/>
      <c r="I36" s="39"/>
      <c r="J36" s="39"/>
      <c r="K36" s="39"/>
    </row>
    <row r="55" spans="9:9" ht="21" x14ac:dyDescent="0.6">
      <c r="I55" s="1"/>
    </row>
  </sheetData>
  <sortState ref="B5:M35">
    <sortCondition ref="B5:B35"/>
  </sortState>
  <mergeCells count="12">
    <mergeCell ref="L2:O2"/>
    <mergeCell ref="F2:F3"/>
    <mergeCell ref="A1:O1"/>
    <mergeCell ref="A36:K36"/>
    <mergeCell ref="A4:B4"/>
    <mergeCell ref="G2:G3"/>
    <mergeCell ref="H2:K2"/>
    <mergeCell ref="A2:A3"/>
    <mergeCell ref="E2:E3"/>
    <mergeCell ref="D2:D3"/>
    <mergeCell ref="B2:B3"/>
    <mergeCell ref="C2:C3"/>
  </mergeCells>
  <phoneticPr fontId="1" type="noConversion"/>
  <printOptions horizontalCentered="1" verticalCentered="1"/>
  <pageMargins left="0.15748031496062992" right="0" top="0" bottom="0" header="0.23622047244094491" footer="0.31496062992125984"/>
  <pageSetup paperSize="9" scale="73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جدول 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Zahra Fatemi</dc:creator>
  <cp:lastModifiedBy>Zahra Fatemi</cp:lastModifiedBy>
  <cp:lastPrinted>2025-03-09T06:00:04Z</cp:lastPrinted>
  <dcterms:created xsi:type="dcterms:W3CDTF">1996-10-14T23:33:28Z</dcterms:created>
  <dcterms:modified xsi:type="dcterms:W3CDTF">2026-10-11T05:45:41Z</dcterms:modified>
</cp:coreProperties>
</file>