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Y:\حوزه ریاست\عسگری\مرادی فرد\خانه امید\"/>
    </mc:Choice>
  </mc:AlternateContent>
  <xr:revisionPtr revIDLastSave="0" documentId="13_ncr:1_{3440521F-A545-4A25-B4EF-A9B03726E5E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روکش کلی" sheetId="21" r:id="rId1"/>
    <sheet name="پیشرفت فیزیکی" sheetId="1" r:id="rId2"/>
    <sheet name="گزارش عملکرد بانک ها " sheetId="20" r:id="rId3"/>
  </sheets>
  <definedNames>
    <definedName name="_xlnm.Print_Area" localSheetId="1">'پیشرفت فیزیکی'!$B$4:$M$21</definedName>
    <definedName name="_xlnm.Print_Area" localSheetId="0">'روکش کلی'!#REF!</definedName>
    <definedName name="_xlnm.Print_Area" localSheetId="2">'گزارش عملکرد بانک ها '!$B$4:$M$14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21" l="1"/>
  <c r="C11" i="21"/>
  <c r="E14" i="20"/>
  <c r="L13" i="20"/>
  <c r="J13" i="20"/>
  <c r="L12" i="20"/>
  <c r="G12" i="20"/>
  <c r="J12" i="20" s="1"/>
  <c r="L11" i="20"/>
  <c r="G11" i="20"/>
  <c r="J11" i="20" s="1"/>
  <c r="L10" i="20"/>
  <c r="J10" i="20"/>
  <c r="G10" i="20"/>
  <c r="L9" i="20"/>
  <c r="J9" i="20"/>
  <c r="G9" i="20"/>
  <c r="H9" i="20" s="1"/>
  <c r="L8" i="20"/>
  <c r="G8" i="20"/>
  <c r="H8" i="20" s="1"/>
  <c r="M14" i="20"/>
  <c r="K14" i="20"/>
  <c r="I14" i="20"/>
  <c r="G7" i="20"/>
  <c r="G14" i="20" s="1"/>
  <c r="H14" i="20" s="1"/>
  <c r="J8" i="20" l="1"/>
  <c r="J14" i="20"/>
  <c r="C22" i="21"/>
  <c r="C24" i="21" s="1"/>
  <c r="L14" i="20"/>
  <c r="H7" i="20"/>
  <c r="L7" i="20"/>
  <c r="J7" i="20"/>
  <c r="C21" i="21" l="1"/>
  <c r="C12" i="21"/>
  <c r="B20" i="1" l="1"/>
  <c r="C20" i="1"/>
  <c r="D20" i="1"/>
  <c r="E20" i="1"/>
  <c r="G20" i="1"/>
  <c r="H20" i="1"/>
  <c r="I20" i="1"/>
  <c r="J20" i="1"/>
  <c r="F11" i="1"/>
  <c r="F19" i="1"/>
  <c r="B12" i="1"/>
  <c r="C12" i="1"/>
  <c r="D12" i="1"/>
  <c r="E12" i="1"/>
  <c r="G12" i="1"/>
  <c r="H12" i="1"/>
  <c r="I12" i="1"/>
  <c r="J12" i="1"/>
  <c r="F18" i="1" l="1"/>
  <c r="F17" i="1"/>
  <c r="F6" i="1" l="1"/>
  <c r="F7" i="1"/>
  <c r="F8" i="1"/>
  <c r="F9" i="1"/>
  <c r="F10" i="1"/>
  <c r="F13" i="1"/>
  <c r="F15" i="1"/>
  <c r="F16" i="1"/>
  <c r="F5" i="1"/>
  <c r="G21" i="1" l="1"/>
  <c r="F12" i="1" l="1"/>
  <c r="J21" i="1"/>
  <c r="F20" i="1"/>
  <c r="F21" i="1" l="1"/>
  <c r="B21" i="1" l="1"/>
  <c r="C21" i="1"/>
  <c r="D21" i="1"/>
  <c r="E21" i="1"/>
  <c r="H21" i="1"/>
  <c r="I21" i="1"/>
</calcChain>
</file>

<file path=xl/sharedStrings.xml><?xml version="1.0" encoding="utf-8"?>
<sst xmlns="http://schemas.openxmlformats.org/spreadsheetml/2006/main" count="84" uniqueCount="62">
  <si>
    <t>روستایی</t>
  </si>
  <si>
    <t>طرح ویژه بهسازی مسکن روستایی اعتبار 1404</t>
  </si>
  <si>
    <t xml:space="preserve">پروژه های در دست اجرای مسکن محرومین روستایی بنیاد ساخت انتقالی </t>
  </si>
  <si>
    <t>تفاهم نامه 8هزار واحدی روستایی کمیته امداد</t>
  </si>
  <si>
    <t xml:space="preserve">تکمیل واحدهای نیمه کاره مسکن محرومین روستایی </t>
  </si>
  <si>
    <t>عملکرد طرح ویژه بهسازی مسکن شهری اعتبار 1404</t>
  </si>
  <si>
    <t>تفاهم نامه 30هزار واحدی شهر زیر 25 هزار کمیته امداد</t>
  </si>
  <si>
    <t>شهری</t>
  </si>
  <si>
    <t>شرح</t>
  </si>
  <si>
    <t>مجموع</t>
  </si>
  <si>
    <t>فونداسیون</t>
  </si>
  <si>
    <t>نازک‌کاری</t>
  </si>
  <si>
    <t>معرفی به بانک</t>
  </si>
  <si>
    <t>عقدقراداد</t>
  </si>
  <si>
    <t>اسکلت</t>
  </si>
  <si>
    <t>سفتکاری</t>
  </si>
  <si>
    <t>پی‌کنی</t>
  </si>
  <si>
    <t>تعداد واحد در دست اجرا</t>
  </si>
  <si>
    <t>تفاهم نامه 8 هزار واحدی بهزیستی</t>
  </si>
  <si>
    <t>واحدهای انتقالی از محل طرح تامین مسکن محرومین از محل حساب 100</t>
  </si>
  <si>
    <t>درصد شروع عملیات اجرایی</t>
  </si>
  <si>
    <t>پروژه های در دست اجرای مسکن محرومین شهری</t>
  </si>
  <si>
    <t>درصد تحقق</t>
  </si>
  <si>
    <t>مسکن استیجار (بصورت پایلوت)</t>
  </si>
  <si>
    <t>پروژه های دارای پیشرفت فیزیکی در انتظار معرفی به بانک</t>
  </si>
  <si>
    <t>تکمیل واحدهای نیمه کاره مسکن محرومین دارای مشارکت مدنی</t>
  </si>
  <si>
    <t>ردیف</t>
  </si>
  <si>
    <t>بانک عامل</t>
  </si>
  <si>
    <t>تعداد سهمیه اختصاص یافته</t>
  </si>
  <si>
    <t>تاریخ ابلاغ بانک</t>
  </si>
  <si>
    <t xml:space="preserve"> سهمیه ابلاغ شده از سوی بانک عامل </t>
  </si>
  <si>
    <t>وضعیت معرفی به بانک</t>
  </si>
  <si>
    <t xml:space="preserve">وضعیت انعقادقرارداد </t>
  </si>
  <si>
    <t>مجموع جذب ریالی
(میلیارد ریال)</t>
  </si>
  <si>
    <t>سورت سامانه</t>
  </si>
  <si>
    <t>تعداد</t>
  </si>
  <si>
    <t>درصد</t>
  </si>
  <si>
    <r>
      <t xml:space="preserve">درصد
</t>
    </r>
    <r>
      <rPr>
        <b/>
        <sz val="11"/>
        <color theme="1"/>
        <rFont val="B Zar"/>
        <charset val="178"/>
      </rPr>
      <t>از سهمیه ابلاغ شده</t>
    </r>
  </si>
  <si>
    <t>درصد
نسبت به معرفی</t>
  </si>
  <si>
    <t>تجارت</t>
  </si>
  <si>
    <t>1405/03/03</t>
  </si>
  <si>
    <t>رفاه</t>
  </si>
  <si>
    <t>سپه</t>
  </si>
  <si>
    <t>1405/03/20</t>
  </si>
  <si>
    <t>صادرات</t>
  </si>
  <si>
    <t>1405/04/27</t>
  </si>
  <si>
    <t>پست بانک</t>
  </si>
  <si>
    <t>1405/06/02</t>
  </si>
  <si>
    <t>ملت</t>
  </si>
  <si>
    <t>1405/06/07</t>
  </si>
  <si>
    <t>ملی</t>
  </si>
  <si>
    <t>-</t>
  </si>
  <si>
    <t xml:space="preserve">مجموع روستایی </t>
  </si>
  <si>
    <t>مجموع شهری</t>
  </si>
  <si>
    <t xml:space="preserve">مجموع کل </t>
  </si>
  <si>
    <t xml:space="preserve">برنامه تا (1405.6.15) </t>
  </si>
  <si>
    <t>درصد شهری</t>
  </si>
  <si>
    <t>درصد روستایی</t>
  </si>
  <si>
    <r>
      <t xml:space="preserve">عملکرد بانکها ازمحل اعتبارتخصیصی طرح ویژه نوسازی و بهسازی مسکن روستایی </t>
    </r>
    <r>
      <rPr>
        <sz val="20"/>
        <color rgb="FFC00000"/>
        <rFont val="B Titr"/>
        <charset val="178"/>
      </rPr>
      <t>سال  1404</t>
    </r>
    <r>
      <rPr>
        <sz val="20"/>
        <color theme="1"/>
        <rFont val="B Titr"/>
        <charset val="178"/>
      </rPr>
      <t xml:space="preserve">
1405/06/21</t>
    </r>
  </si>
  <si>
    <t>پیشرفت فیزیکی  واحدهای در دست اجرای مسکن محرومین در سال 1405
1405/06/21</t>
  </si>
  <si>
    <t>تعداد واحد در دست اجرای طرح خانه امید در سال 1405
1405/06/21</t>
  </si>
  <si>
    <t>جمع کل (شهری و روستایی)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</si>
</sst>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theme="1"/>
      <name val="B Roya"/>
      <charset val="178"/>
    </font>
    <font>
      <b/>
      <sz val="16"/>
      <color theme="1"/>
      <name val="B Roya"/>
      <charset val="178"/>
    </font>
    <font>
      <sz val="14"/>
      <color theme="1"/>
      <name val="B Roya"/>
      <charset val="178"/>
    </font>
    <font>
      <sz val="11"/>
      <color theme="1"/>
      <name val="Calibri"/>
      <family val="2"/>
      <scheme val="minor"/>
    </font>
    <font>
      <b/>
      <sz val="18"/>
      <color rgb="FFFF0000"/>
      <name val="B Roya"/>
      <charset val="178"/>
    </font>
    <font>
      <b/>
      <sz val="20"/>
      <color theme="9" tint="-0.499984740745262"/>
      <name val="B Roya"/>
      <charset val="178"/>
    </font>
    <font>
      <b/>
      <sz val="14"/>
      <name val="B Roya"/>
      <charset val="178"/>
    </font>
    <font>
      <sz val="11"/>
      <name val="Calibri"/>
      <family val="2"/>
    </font>
    <font>
      <b/>
      <sz val="14"/>
      <color theme="1"/>
      <name val="B Titr"/>
      <charset val="178"/>
    </font>
    <font>
      <sz val="11"/>
      <color theme="1"/>
      <name val="Calibri"/>
      <family val="2"/>
      <charset val="178"/>
      <scheme val="minor"/>
    </font>
    <font>
      <sz val="20"/>
      <color theme="1"/>
      <name val="B Titr"/>
      <charset val="178"/>
    </font>
    <font>
      <sz val="20"/>
      <color rgb="FFC00000"/>
      <name val="B Titr"/>
      <charset val="178"/>
    </font>
    <font>
      <b/>
      <sz val="14"/>
      <color theme="1"/>
      <name val="B Zar"/>
      <charset val="178"/>
    </font>
    <font>
      <b/>
      <sz val="11"/>
      <color theme="1"/>
      <name val="B Zar"/>
      <charset val="178"/>
    </font>
    <font>
      <b/>
      <sz val="16"/>
      <color theme="1"/>
      <name val="B Zar"/>
      <charset val="178"/>
    </font>
    <font>
      <b/>
      <sz val="16"/>
      <color theme="1"/>
      <name val="B Titr"/>
      <charset val="178"/>
    </font>
    <font>
      <b/>
      <sz val="18"/>
      <color theme="1"/>
      <name val="B Titr"/>
      <charset val="178"/>
    </font>
    <font>
      <b/>
      <sz val="16"/>
      <color theme="1"/>
      <name val="Calibri"/>
      <family val="2"/>
      <scheme val="minor"/>
    </font>
    <font>
      <b/>
      <sz val="16"/>
      <name val="B Titr"/>
      <charset val="178"/>
    </font>
    <font>
      <sz val="22"/>
      <color theme="1"/>
      <name val="B Titr"/>
      <charset val="178"/>
    </font>
    <font>
      <b/>
      <sz val="16"/>
      <color rgb="FFC00000"/>
      <name val="B Titr"/>
      <charset val="178"/>
    </font>
    <font>
      <sz val="16"/>
      <color rgb="FFC00000"/>
      <name val="B Titr"/>
      <charset val="178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E38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8" fillId="0" borderId="0"/>
    <xf numFmtId="0" fontId="10" fillId="0" borderId="0"/>
    <xf numFmtId="9" fontId="10" fillId="0" borderId="0" applyFont="0" applyFill="0" applyBorder="0" applyAlignment="0" applyProtection="0"/>
  </cellStyleXfs>
  <cellXfs count="10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0" xfId="3"/>
    <xf numFmtId="0" fontId="10" fillId="0" borderId="0" xfId="3" applyAlignment="1">
      <alignment horizontal="center" vertical="center"/>
    </xf>
    <xf numFmtId="0" fontId="10" fillId="0" borderId="0" xfId="3" applyAlignment="1">
      <alignment horizontal="center"/>
    </xf>
    <xf numFmtId="0" fontId="13" fillId="5" borderId="16" xfId="3" applyFont="1" applyFill="1" applyBorder="1" applyAlignment="1">
      <alignment horizontal="center" vertical="center" wrapText="1"/>
    </xf>
    <xf numFmtId="0" fontId="13" fillId="5" borderId="17" xfId="3" applyFont="1" applyFill="1" applyBorder="1" applyAlignment="1">
      <alignment horizontal="center" vertical="center" wrapText="1"/>
    </xf>
    <xf numFmtId="0" fontId="13" fillId="5" borderId="18" xfId="3" applyFont="1" applyFill="1" applyBorder="1" applyAlignment="1">
      <alignment horizontal="center" vertical="center" wrapText="1"/>
    </xf>
    <xf numFmtId="0" fontId="13" fillId="5" borderId="19" xfId="3" applyFont="1" applyFill="1" applyBorder="1" applyAlignment="1">
      <alignment horizontal="center" vertical="center" wrapText="1"/>
    </xf>
    <xf numFmtId="0" fontId="15" fillId="0" borderId="6" xfId="3" applyFont="1" applyBorder="1" applyAlignment="1">
      <alignment horizontal="center" vertical="center"/>
    </xf>
    <xf numFmtId="0" fontId="16" fillId="0" borderId="7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/>
    </xf>
    <xf numFmtId="3" fontId="17" fillId="6" borderId="7" xfId="3" applyNumberFormat="1" applyFont="1" applyFill="1" applyBorder="1" applyAlignment="1">
      <alignment horizontal="center" vertical="center" readingOrder="2"/>
    </xf>
    <xf numFmtId="3" fontId="16" fillId="0" borderId="11" xfId="3" applyNumberFormat="1" applyFont="1" applyBorder="1" applyAlignment="1">
      <alignment horizontal="center" vertical="center" readingOrder="2"/>
    </xf>
    <xf numFmtId="3" fontId="17" fillId="6" borderId="6" xfId="3" applyNumberFormat="1" applyFont="1" applyFill="1" applyBorder="1" applyAlignment="1">
      <alignment horizontal="center" vertical="center" readingOrder="2"/>
    </xf>
    <xf numFmtId="9" fontId="17" fillId="6" borderId="9" xfId="4" applyFont="1" applyFill="1" applyBorder="1" applyAlignment="1">
      <alignment horizontal="center" vertical="center" readingOrder="2"/>
    </xf>
    <xf numFmtId="3" fontId="17" fillId="6" borderId="10" xfId="3" applyNumberFormat="1" applyFont="1" applyFill="1" applyBorder="1" applyAlignment="1">
      <alignment horizontal="center" vertical="center" readingOrder="2"/>
    </xf>
    <xf numFmtId="3" fontId="17" fillId="6" borderId="12" xfId="3" applyNumberFormat="1" applyFont="1" applyFill="1" applyBorder="1" applyAlignment="1">
      <alignment horizontal="center" vertical="center" readingOrder="2"/>
    </xf>
    <xf numFmtId="3" fontId="18" fillId="0" borderId="0" xfId="3" applyNumberFormat="1" applyFont="1"/>
    <xf numFmtId="0" fontId="15" fillId="6" borderId="21" xfId="3" applyFont="1" applyFill="1" applyBorder="1" applyAlignment="1">
      <alignment horizontal="center" vertical="center"/>
    </xf>
    <xf numFmtId="0" fontId="16" fillId="0" borderId="1" xfId="3" applyFont="1" applyBorder="1" applyAlignment="1">
      <alignment horizontal="center" vertical="center"/>
    </xf>
    <xf numFmtId="0" fontId="10" fillId="0" borderId="1" xfId="3" applyBorder="1"/>
    <xf numFmtId="3" fontId="17" fillId="6" borderId="1" xfId="3" applyNumberFormat="1" applyFont="1" applyFill="1" applyBorder="1" applyAlignment="1">
      <alignment horizontal="center" vertical="center" readingOrder="2"/>
    </xf>
    <xf numFmtId="3" fontId="16" fillId="6" borderId="2" xfId="3" applyNumberFormat="1" applyFont="1" applyFill="1" applyBorder="1" applyAlignment="1">
      <alignment horizontal="center" vertical="center" readingOrder="2"/>
    </xf>
    <xf numFmtId="3" fontId="17" fillId="6" borderId="21" xfId="3" applyNumberFormat="1" applyFont="1" applyFill="1" applyBorder="1" applyAlignment="1">
      <alignment horizontal="center" vertical="center" readingOrder="2"/>
    </xf>
    <xf numFmtId="9" fontId="17" fillId="6" borderId="22" xfId="4" applyFont="1" applyFill="1" applyBorder="1" applyAlignment="1">
      <alignment horizontal="center" vertical="center" readingOrder="2"/>
    </xf>
    <xf numFmtId="3" fontId="17" fillId="6" borderId="3" xfId="3" applyNumberFormat="1" applyFont="1" applyFill="1" applyBorder="1" applyAlignment="1">
      <alignment horizontal="center" vertical="center" readingOrder="2"/>
    </xf>
    <xf numFmtId="3" fontId="17" fillId="6" borderId="23" xfId="3" applyNumberFormat="1" applyFont="1" applyFill="1" applyBorder="1" applyAlignment="1">
      <alignment horizontal="center" vertical="center" readingOrder="2"/>
    </xf>
    <xf numFmtId="0" fontId="15" fillId="0" borderId="21" xfId="3" applyFont="1" applyBorder="1" applyAlignment="1">
      <alignment horizontal="center" vertical="center"/>
    </xf>
    <xf numFmtId="0" fontId="16" fillId="6" borderId="1" xfId="3" applyFont="1" applyFill="1" applyBorder="1" applyAlignment="1">
      <alignment horizontal="center" vertical="center"/>
    </xf>
    <xf numFmtId="0" fontId="13" fillId="0" borderId="1" xfId="3" applyFont="1" applyBorder="1" applyAlignment="1">
      <alignment horizontal="center"/>
    </xf>
    <xf numFmtId="0" fontId="15" fillId="0" borderId="16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3" fillId="0" borderId="14" xfId="3" applyFont="1" applyBorder="1" applyAlignment="1">
      <alignment horizontal="center"/>
    </xf>
    <xf numFmtId="3" fontId="17" fillId="6" borderId="14" xfId="3" applyNumberFormat="1" applyFont="1" applyFill="1" applyBorder="1" applyAlignment="1">
      <alignment horizontal="center" vertical="center" readingOrder="2"/>
    </xf>
    <xf numFmtId="3" fontId="16" fillId="0" borderId="17" xfId="3" applyNumberFormat="1" applyFont="1" applyBorder="1" applyAlignment="1">
      <alignment horizontal="center" vertical="center" readingOrder="2"/>
    </xf>
    <xf numFmtId="3" fontId="17" fillId="6" borderId="16" xfId="3" applyNumberFormat="1" applyFont="1" applyFill="1" applyBorder="1" applyAlignment="1">
      <alignment horizontal="center" vertical="center" readingOrder="2"/>
    </xf>
    <xf numFmtId="9" fontId="17" fillId="6" borderId="17" xfId="4" applyFont="1" applyFill="1" applyBorder="1" applyAlignment="1">
      <alignment horizontal="center" vertical="center" readingOrder="2"/>
    </xf>
    <xf numFmtId="3" fontId="17" fillId="6" borderId="18" xfId="3" applyNumberFormat="1" applyFont="1" applyFill="1" applyBorder="1" applyAlignment="1">
      <alignment horizontal="center" vertical="center" readingOrder="2"/>
    </xf>
    <xf numFmtId="3" fontId="17" fillId="6" borderId="24" xfId="3" applyNumberFormat="1" applyFont="1" applyFill="1" applyBorder="1" applyAlignment="1">
      <alignment horizontal="center" vertical="center" readingOrder="2"/>
    </xf>
    <xf numFmtId="3" fontId="17" fillId="7" borderId="26" xfId="3" applyNumberFormat="1" applyFont="1" applyFill="1" applyBorder="1" applyAlignment="1">
      <alignment horizontal="center" vertical="center" readingOrder="2"/>
    </xf>
    <xf numFmtId="3" fontId="17" fillId="7" borderId="15" xfId="3" applyNumberFormat="1" applyFont="1" applyFill="1" applyBorder="1" applyAlignment="1">
      <alignment horizontal="center" vertical="center" readingOrder="2"/>
    </xf>
    <xf numFmtId="3" fontId="17" fillId="7" borderId="25" xfId="3" applyNumberFormat="1" applyFont="1" applyFill="1" applyBorder="1" applyAlignment="1">
      <alignment horizontal="center" vertical="center" readingOrder="2"/>
    </xf>
    <xf numFmtId="9" fontId="17" fillId="7" borderId="27" xfId="4" applyFont="1" applyFill="1" applyBorder="1" applyAlignment="1">
      <alignment horizontal="center" vertical="center" readingOrder="2"/>
    </xf>
    <xf numFmtId="3" fontId="17" fillId="7" borderId="28" xfId="3" applyNumberFormat="1" applyFont="1" applyFill="1" applyBorder="1" applyAlignment="1">
      <alignment horizontal="center" vertical="center" readingOrder="2"/>
    </xf>
    <xf numFmtId="9" fontId="17" fillId="7" borderId="15" xfId="4" applyFont="1" applyFill="1" applyBorder="1" applyAlignment="1">
      <alignment horizontal="center" vertical="center" readingOrder="2"/>
    </xf>
    <xf numFmtId="3" fontId="17" fillId="7" borderId="4" xfId="3" applyNumberFormat="1" applyFont="1" applyFill="1" applyBorder="1" applyAlignment="1">
      <alignment horizontal="center" vertical="center" readingOrder="2"/>
    </xf>
    <xf numFmtId="3" fontId="10" fillId="0" borderId="0" xfId="3" applyNumberFormat="1"/>
    <xf numFmtId="0" fontId="16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9" fontId="21" fillId="4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21" fillId="8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9" fontId="22" fillId="15" borderId="1" xfId="1" applyFont="1" applyFill="1" applyBorder="1" applyAlignment="1">
      <alignment horizontal="center"/>
    </xf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7" fillId="7" borderId="25" xfId="3" applyFont="1" applyFill="1" applyBorder="1" applyAlignment="1">
      <alignment horizontal="center" vertical="center"/>
    </xf>
    <xf numFmtId="0" fontId="17" fillId="7" borderId="26" xfId="3" applyFont="1" applyFill="1" applyBorder="1" applyAlignment="1">
      <alignment horizontal="center" vertical="center"/>
    </xf>
    <xf numFmtId="0" fontId="17" fillId="7" borderId="15" xfId="3" applyFont="1" applyFill="1" applyBorder="1" applyAlignment="1">
      <alignment horizontal="center" vertical="center"/>
    </xf>
    <xf numFmtId="0" fontId="11" fillId="4" borderId="5" xfId="3" applyFont="1" applyFill="1" applyBorder="1" applyAlignment="1">
      <alignment horizontal="center" vertical="center" wrapText="1"/>
    </xf>
    <xf numFmtId="0" fontId="11" fillId="4" borderId="29" xfId="3" applyFont="1" applyFill="1" applyBorder="1" applyAlignment="1">
      <alignment horizontal="center" vertical="center"/>
    </xf>
    <xf numFmtId="0" fontId="11" fillId="4" borderId="30" xfId="3" applyFont="1" applyFill="1" applyBorder="1" applyAlignment="1">
      <alignment horizontal="center" vertical="center"/>
    </xf>
    <xf numFmtId="0" fontId="13" fillId="5" borderId="6" xfId="3" applyFont="1" applyFill="1" applyBorder="1" applyAlignment="1">
      <alignment horizontal="center" vertical="center"/>
    </xf>
    <xf numFmtId="0" fontId="13" fillId="5" borderId="13" xfId="3" applyFont="1" applyFill="1" applyBorder="1" applyAlignment="1">
      <alignment horizontal="center" vertical="center"/>
    </xf>
    <xf numFmtId="0" fontId="9" fillId="5" borderId="7" xfId="3" applyFont="1" applyFill="1" applyBorder="1" applyAlignment="1">
      <alignment horizontal="center" vertical="center" wrapText="1"/>
    </xf>
    <xf numFmtId="0" fontId="9" fillId="5" borderId="14" xfId="3" applyFont="1" applyFill="1" applyBorder="1" applyAlignment="1">
      <alignment horizontal="center" vertical="center" wrapText="1"/>
    </xf>
    <xf numFmtId="0" fontId="9" fillId="5" borderId="8" xfId="3" applyFont="1" applyFill="1" applyBorder="1" applyAlignment="1">
      <alignment horizontal="center" vertical="center" wrapText="1"/>
    </xf>
    <xf numFmtId="0" fontId="9" fillId="5" borderId="15" xfId="3" applyFont="1" applyFill="1" applyBorder="1" applyAlignment="1">
      <alignment horizontal="center" vertical="center" wrapText="1"/>
    </xf>
    <xf numFmtId="0" fontId="9" fillId="5" borderId="6" xfId="3" applyFont="1" applyFill="1" applyBorder="1" applyAlignment="1">
      <alignment horizontal="center" vertical="center" wrapText="1"/>
    </xf>
    <xf numFmtId="0" fontId="9" fillId="5" borderId="9" xfId="3" applyFont="1" applyFill="1" applyBorder="1" applyAlignment="1">
      <alignment horizontal="center" vertical="center" wrapText="1"/>
    </xf>
    <xf numFmtId="0" fontId="9" fillId="5" borderId="10" xfId="3" applyFont="1" applyFill="1" applyBorder="1" applyAlignment="1">
      <alignment horizontal="center" vertical="center" wrapText="1"/>
    </xf>
    <xf numFmtId="0" fontId="9" fillId="5" borderId="11" xfId="3" applyFont="1" applyFill="1" applyBorder="1" applyAlignment="1">
      <alignment horizontal="center" vertical="center" wrapText="1"/>
    </xf>
    <xf numFmtId="0" fontId="9" fillId="5" borderId="12" xfId="3" applyFont="1" applyFill="1" applyBorder="1" applyAlignment="1">
      <alignment horizontal="center" vertical="center" wrapText="1"/>
    </xf>
    <xf numFmtId="0" fontId="9" fillId="5" borderId="20" xfId="3" applyFont="1" applyFill="1" applyBorder="1" applyAlignment="1">
      <alignment horizontal="center" vertical="center" wrapText="1"/>
    </xf>
  </cellXfs>
  <cellStyles count="5">
    <cellStyle name="Normal" xfId="0" builtinId="0"/>
    <cellStyle name="Normal 2" xfId="3" xr:uid="{00000000-0005-0000-0000-000001000000}"/>
    <cellStyle name="Normal 2 2" xfId="2" xr:uid="{00000000-0005-0000-0000-000002000000}"/>
    <cellStyle name="Percent" xfId="1" builtinId="5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154780</xdr:colOff>
      <xdr:row>9</xdr:row>
      <xdr:rowOff>110496</xdr:rowOff>
    </xdr:from>
    <xdr:ext cx="692489" cy="535782"/>
    <xdr:pic>
      <xdr:nvPicPr>
        <xdr:cNvPr id="2" name="Picture 1" descr="E:\pic\12x1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354481" y="4777746"/>
          <a:ext cx="692489" cy="535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138546</xdr:colOff>
      <xdr:row>6</xdr:row>
      <xdr:rowOff>76455</xdr:rowOff>
    </xdr:from>
    <xdr:ext cx="629897" cy="531090"/>
    <xdr:pic>
      <xdr:nvPicPr>
        <xdr:cNvPr id="3" name="Picture 2" descr="E:\pic\1117201665829pm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433307" y="2857755"/>
          <a:ext cx="629897" cy="531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226218</xdr:colOff>
      <xdr:row>11</xdr:row>
      <xdr:rowOff>107090</xdr:rowOff>
    </xdr:from>
    <xdr:ext cx="523875" cy="497112"/>
    <xdr:pic>
      <xdr:nvPicPr>
        <xdr:cNvPr id="4" name="Picture 3" descr="E:\pic\2015427171537957.gif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451657" y="6031640"/>
          <a:ext cx="523875" cy="497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117124</xdr:colOff>
      <xdr:row>7</xdr:row>
      <xdr:rowOff>121938</xdr:rowOff>
    </xdr:from>
    <xdr:ext cx="726669" cy="483281"/>
    <xdr:pic>
      <xdr:nvPicPr>
        <xdr:cNvPr id="5" name="Picture 4" descr="E:\pic\201641115562930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357957" y="3531888"/>
          <a:ext cx="726669" cy="483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161959</xdr:colOff>
      <xdr:row>8</xdr:row>
      <xdr:rowOff>95251</xdr:rowOff>
    </xdr:from>
    <xdr:ext cx="538857" cy="426794"/>
    <xdr:pic>
      <xdr:nvPicPr>
        <xdr:cNvPr id="6" name="Picture 5" descr="E:\pic\1439708486_sepah-mobile-bank.png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500934" y="4133851"/>
          <a:ext cx="538857" cy="426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241366</xdr:colOff>
      <xdr:row>10</xdr:row>
      <xdr:rowOff>71439</xdr:rowOff>
    </xdr:from>
    <xdr:to>
      <xdr:col>3</xdr:col>
      <xdr:colOff>754188</xdr:colOff>
      <xdr:row>10</xdr:row>
      <xdr:rowOff>583407</xdr:rowOff>
    </xdr:to>
    <xdr:pic>
      <xdr:nvPicPr>
        <xdr:cNvPr id="7" name="Picture 6" descr="http://maskanr/attachment/bank/download%20(3).png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5447562" y="5367339"/>
          <a:ext cx="512822" cy="511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250252</xdr:colOff>
      <xdr:row>12</xdr:row>
      <xdr:rowOff>49975</xdr:rowOff>
    </xdr:from>
    <xdr:to>
      <xdr:col>3</xdr:col>
      <xdr:colOff>677387</xdr:colOff>
      <xdr:row>12</xdr:row>
      <xdr:rowOff>616032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5524363" y="6603175"/>
          <a:ext cx="427135" cy="566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C24"/>
  <sheetViews>
    <sheetView rightToLeft="1" zoomScale="70" zoomScaleNormal="70" workbookViewId="0">
      <selection activeCell="B6" sqref="B6"/>
    </sheetView>
  </sheetViews>
  <sheetFormatPr defaultRowHeight="15" x14ac:dyDescent="0.25"/>
  <cols>
    <col min="1" max="1" width="9.85546875" customWidth="1"/>
    <col min="2" max="2" width="104.140625" customWidth="1"/>
    <col min="3" max="3" width="25.85546875" customWidth="1"/>
  </cols>
  <sheetData>
    <row r="2" spans="2:3" ht="84.75" customHeight="1" x14ac:dyDescent="1.1499999999999999">
      <c r="B2" s="76" t="s">
        <v>60</v>
      </c>
      <c r="C2" s="77"/>
    </row>
    <row r="4" spans="2:3" ht="30" customHeight="1" x14ac:dyDescent="0.25">
      <c r="B4" s="60" t="s">
        <v>1</v>
      </c>
      <c r="C4" s="59">
        <v>32417</v>
      </c>
    </row>
    <row r="5" spans="2:3" ht="30" customHeight="1" x14ac:dyDescent="0.25">
      <c r="B5" s="60" t="s">
        <v>2</v>
      </c>
      <c r="C5" s="59">
        <v>10669</v>
      </c>
    </row>
    <row r="6" spans="2:3" ht="30" customHeight="1" x14ac:dyDescent="0.25">
      <c r="B6" s="60" t="s">
        <v>3</v>
      </c>
      <c r="C6" s="59">
        <v>988</v>
      </c>
    </row>
    <row r="7" spans="2:3" ht="30" customHeight="1" x14ac:dyDescent="0.25">
      <c r="B7" s="60" t="s">
        <v>4</v>
      </c>
      <c r="C7" s="59">
        <v>5140</v>
      </c>
    </row>
    <row r="8" spans="2:3" ht="30" customHeight="1" x14ac:dyDescent="0.25">
      <c r="B8" s="60" t="s">
        <v>19</v>
      </c>
      <c r="C8" s="59">
        <v>3792</v>
      </c>
    </row>
    <row r="9" spans="2:3" ht="30" customHeight="1" x14ac:dyDescent="0.25">
      <c r="B9" s="60" t="s">
        <v>18</v>
      </c>
      <c r="C9" s="59">
        <v>1359</v>
      </c>
    </row>
    <row r="10" spans="2:3" ht="30" customHeight="1" x14ac:dyDescent="0.25">
      <c r="B10" s="60" t="s">
        <v>25</v>
      </c>
      <c r="C10" s="59">
        <v>2128</v>
      </c>
    </row>
    <row r="11" spans="2:3" ht="30" customHeight="1" x14ac:dyDescent="0.25">
      <c r="B11" s="65" t="s">
        <v>52</v>
      </c>
      <c r="C11" s="66">
        <f>SUM(C4:C10)</f>
        <v>56493</v>
      </c>
    </row>
    <row r="12" spans="2:3" ht="30" customHeight="1" x14ac:dyDescent="0.25">
      <c r="B12" s="65" t="s">
        <v>57</v>
      </c>
      <c r="C12" s="67">
        <f>C11/C22</f>
        <v>0.69511024707156222</v>
      </c>
    </row>
    <row r="13" spans="2:3" ht="30" customHeight="1" x14ac:dyDescent="0.25">
      <c r="B13" s="61" t="s">
        <v>5</v>
      </c>
      <c r="C13" s="63">
        <v>9866</v>
      </c>
    </row>
    <row r="14" spans="2:3" ht="30" customHeight="1" x14ac:dyDescent="0.25">
      <c r="B14" s="62" t="s">
        <v>21</v>
      </c>
      <c r="C14" s="64">
        <v>6300</v>
      </c>
    </row>
    <row r="15" spans="2:3" ht="30" customHeight="1" x14ac:dyDescent="0.25">
      <c r="B15" s="61" t="s">
        <v>6</v>
      </c>
      <c r="C15" s="63">
        <v>1900</v>
      </c>
    </row>
    <row r="16" spans="2:3" ht="30" customHeight="1" x14ac:dyDescent="0.25">
      <c r="B16" s="61" t="s">
        <v>18</v>
      </c>
      <c r="C16" s="63">
        <v>1253</v>
      </c>
    </row>
    <row r="17" spans="2:3" ht="30" customHeight="1" x14ac:dyDescent="0.25">
      <c r="B17" s="61" t="s">
        <v>23</v>
      </c>
      <c r="C17" s="63">
        <v>177</v>
      </c>
    </row>
    <row r="18" spans="2:3" ht="30" customHeight="1" x14ac:dyDescent="0.25">
      <c r="B18" s="61" t="s">
        <v>24</v>
      </c>
      <c r="C18" s="63">
        <v>2128</v>
      </c>
    </row>
    <row r="19" spans="2:3" ht="30" customHeight="1" x14ac:dyDescent="0.25">
      <c r="B19" s="61" t="s">
        <v>25</v>
      </c>
      <c r="C19" s="63">
        <v>3155</v>
      </c>
    </row>
    <row r="20" spans="2:3" ht="30" customHeight="1" x14ac:dyDescent="0.25">
      <c r="B20" s="65" t="s">
        <v>53</v>
      </c>
      <c r="C20" s="66">
        <f>SUM(C13:C19)</f>
        <v>24779</v>
      </c>
    </row>
    <row r="21" spans="2:3" ht="30" customHeight="1" x14ac:dyDescent="0.25">
      <c r="B21" s="65" t="s">
        <v>56</v>
      </c>
      <c r="C21" s="67">
        <f>C20/C22</f>
        <v>0.30488975292843784</v>
      </c>
    </row>
    <row r="22" spans="2:3" ht="30" customHeight="1" x14ac:dyDescent="0.25">
      <c r="B22" s="71" t="s">
        <v>54</v>
      </c>
      <c r="C22" s="72">
        <f>C20+C11</f>
        <v>81272</v>
      </c>
    </row>
    <row r="23" spans="2:3" ht="30" customHeight="1" x14ac:dyDescent="0.25">
      <c r="B23" s="73" t="s">
        <v>55</v>
      </c>
      <c r="C23" s="74">
        <v>97000</v>
      </c>
    </row>
    <row r="24" spans="2:3" ht="30" customHeight="1" x14ac:dyDescent="0.85">
      <c r="B24" s="73" t="s">
        <v>22</v>
      </c>
      <c r="C24" s="75">
        <f>C22/C23</f>
        <v>0.83785567010309281</v>
      </c>
    </row>
  </sheetData>
  <mergeCells count="1">
    <mergeCell ref="B2:C2"/>
  </mergeCells>
  <printOptions horizontalCentered="1" verticalCentered="1"/>
  <pageMargins left="0.7" right="0.7" top="0.75" bottom="0.75" header="0.3" footer="0.3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21"/>
  <sheetViews>
    <sheetView rightToLeft="1" zoomScale="70" zoomScaleNormal="70" workbookViewId="0">
      <selection activeCell="K21" sqref="K21:M21"/>
    </sheetView>
  </sheetViews>
  <sheetFormatPr defaultRowHeight="15" x14ac:dyDescent="0.25"/>
  <cols>
    <col min="2" max="2" width="9.28515625" bestFit="1" customWidth="1"/>
    <col min="3" max="5" width="10.140625" bestFit="1" customWidth="1"/>
    <col min="6" max="6" width="27.85546875" bestFit="1" customWidth="1"/>
    <col min="7" max="7" width="11.5703125" bestFit="1" customWidth="1"/>
    <col min="8" max="8" width="10.140625" bestFit="1" customWidth="1"/>
    <col min="9" max="9" width="12.42578125" bestFit="1" customWidth="1"/>
    <col min="10" max="10" width="12.42578125" customWidth="1"/>
    <col min="11" max="11" width="73.140625" customWidth="1"/>
    <col min="12" max="12" width="4.28515625" bestFit="1" customWidth="1"/>
    <col min="13" max="13" width="11" customWidth="1"/>
  </cols>
  <sheetData>
    <row r="2" spans="2:13" ht="90" customHeight="1" x14ac:dyDescent="1.05">
      <c r="B2" s="78" t="s">
        <v>59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</row>
    <row r="4" spans="2:13" ht="74.25" x14ac:dyDescent="0.25">
      <c r="B4" s="1" t="s">
        <v>11</v>
      </c>
      <c r="C4" s="1" t="s">
        <v>15</v>
      </c>
      <c r="D4" s="1" t="s">
        <v>14</v>
      </c>
      <c r="E4" s="1" t="s">
        <v>10</v>
      </c>
      <c r="F4" s="2" t="s">
        <v>20</v>
      </c>
      <c r="G4" s="1" t="s">
        <v>16</v>
      </c>
      <c r="H4" s="1" t="s">
        <v>13</v>
      </c>
      <c r="I4" s="2" t="s">
        <v>12</v>
      </c>
      <c r="J4" s="2" t="s">
        <v>17</v>
      </c>
      <c r="K4" s="81" t="s">
        <v>8</v>
      </c>
      <c r="L4" s="81"/>
      <c r="M4" s="81"/>
    </row>
    <row r="5" spans="2:13" ht="25.5" x14ac:dyDescent="0.25">
      <c r="B5" s="8">
        <v>266</v>
      </c>
      <c r="C5" s="8">
        <v>1068</v>
      </c>
      <c r="D5" s="8">
        <v>3482</v>
      </c>
      <c r="E5" s="8">
        <v>7033</v>
      </c>
      <c r="F5" s="9">
        <f>G5/J5</f>
        <v>0.94542986704506893</v>
      </c>
      <c r="G5" s="8">
        <v>30648</v>
      </c>
      <c r="H5" s="8">
        <v>7280</v>
      </c>
      <c r="I5" s="8">
        <v>32417</v>
      </c>
      <c r="J5" s="8">
        <v>32417</v>
      </c>
      <c r="K5" s="68" t="s">
        <v>1</v>
      </c>
      <c r="L5" s="12">
        <v>1</v>
      </c>
      <c r="M5" s="82" t="s">
        <v>0</v>
      </c>
    </row>
    <row r="6" spans="2:13" ht="25.5" x14ac:dyDescent="0.25">
      <c r="B6" s="8">
        <v>1197</v>
      </c>
      <c r="C6" s="8">
        <v>4997</v>
      </c>
      <c r="D6" s="8">
        <v>5730</v>
      </c>
      <c r="E6" s="8">
        <v>10669</v>
      </c>
      <c r="F6" s="9">
        <f t="shared" ref="F6:F21" si="0">G6/J6</f>
        <v>1</v>
      </c>
      <c r="G6" s="8">
        <v>10669</v>
      </c>
      <c r="H6" s="8">
        <v>4401</v>
      </c>
      <c r="I6" s="8">
        <v>4401</v>
      </c>
      <c r="J6" s="8">
        <v>10669</v>
      </c>
      <c r="K6" s="68" t="s">
        <v>2</v>
      </c>
      <c r="L6" s="12">
        <v>2</v>
      </c>
      <c r="M6" s="82"/>
    </row>
    <row r="7" spans="2:13" ht="25.5" x14ac:dyDescent="0.25">
      <c r="B7" s="8">
        <v>255</v>
      </c>
      <c r="C7" s="8">
        <v>295</v>
      </c>
      <c r="D7" s="8">
        <v>675</v>
      </c>
      <c r="E7" s="8">
        <v>806</v>
      </c>
      <c r="F7" s="9">
        <f t="shared" si="0"/>
        <v>1</v>
      </c>
      <c r="G7" s="8">
        <v>988</v>
      </c>
      <c r="H7" s="8">
        <v>713</v>
      </c>
      <c r="I7" s="8">
        <v>991</v>
      </c>
      <c r="J7" s="8">
        <v>988</v>
      </c>
      <c r="K7" s="68" t="s">
        <v>3</v>
      </c>
      <c r="L7" s="12">
        <v>3</v>
      </c>
      <c r="M7" s="82"/>
    </row>
    <row r="8" spans="2:13" ht="25.5" x14ac:dyDescent="0.25">
      <c r="B8" s="8">
        <v>1511</v>
      </c>
      <c r="C8" s="8">
        <v>4769</v>
      </c>
      <c r="D8" s="8">
        <v>5028</v>
      </c>
      <c r="E8" s="8">
        <v>5140</v>
      </c>
      <c r="F8" s="9">
        <f t="shared" si="0"/>
        <v>1</v>
      </c>
      <c r="G8" s="8">
        <v>5140</v>
      </c>
      <c r="H8" s="8">
        <v>5140</v>
      </c>
      <c r="I8" s="8">
        <v>5140</v>
      </c>
      <c r="J8" s="8">
        <v>5140</v>
      </c>
      <c r="K8" s="68" t="s">
        <v>4</v>
      </c>
      <c r="L8" s="12">
        <v>4</v>
      </c>
      <c r="M8" s="82"/>
    </row>
    <row r="9" spans="2:13" ht="25.5" x14ac:dyDescent="0.25">
      <c r="B9" s="8">
        <v>924</v>
      </c>
      <c r="C9" s="8">
        <v>3072</v>
      </c>
      <c r="D9" s="8">
        <v>3475</v>
      </c>
      <c r="E9" s="8">
        <v>3618</v>
      </c>
      <c r="F9" s="9">
        <f t="shared" si="0"/>
        <v>0.96070675105485237</v>
      </c>
      <c r="G9" s="8">
        <v>3643</v>
      </c>
      <c r="H9" s="8">
        <v>3721</v>
      </c>
      <c r="I9" s="8">
        <v>3727</v>
      </c>
      <c r="J9" s="8">
        <v>3792</v>
      </c>
      <c r="K9" s="68" t="s">
        <v>19</v>
      </c>
      <c r="L9" s="12">
        <v>5</v>
      </c>
      <c r="M9" s="82"/>
    </row>
    <row r="10" spans="2:13" ht="25.5" x14ac:dyDescent="0.25">
      <c r="B10" s="8">
        <v>659</v>
      </c>
      <c r="C10" s="8">
        <v>1044</v>
      </c>
      <c r="D10" s="8">
        <v>1201</v>
      </c>
      <c r="E10" s="8">
        <v>1253</v>
      </c>
      <c r="F10" s="9">
        <f t="shared" si="0"/>
        <v>0.93230316409124359</v>
      </c>
      <c r="G10" s="8">
        <v>1267</v>
      </c>
      <c r="H10" s="8">
        <v>1247</v>
      </c>
      <c r="I10" s="8">
        <v>1309</v>
      </c>
      <c r="J10" s="8">
        <v>1359</v>
      </c>
      <c r="K10" s="68" t="s">
        <v>18</v>
      </c>
      <c r="L10" s="12">
        <v>6</v>
      </c>
      <c r="M10" s="82"/>
    </row>
    <row r="11" spans="2:13" ht="25.5" x14ac:dyDescent="0.25">
      <c r="B11" s="8">
        <v>0</v>
      </c>
      <c r="C11" s="8">
        <v>624</v>
      </c>
      <c r="D11" s="8">
        <v>1304</v>
      </c>
      <c r="E11" s="8">
        <v>1988</v>
      </c>
      <c r="F11" s="9">
        <f t="shared" si="0"/>
        <v>1</v>
      </c>
      <c r="G11" s="8">
        <v>2128</v>
      </c>
      <c r="H11" s="8">
        <v>2128</v>
      </c>
      <c r="I11" s="8">
        <v>2128</v>
      </c>
      <c r="J11" s="8">
        <v>2128</v>
      </c>
      <c r="K11" s="68" t="s">
        <v>25</v>
      </c>
      <c r="L11" s="12">
        <v>7</v>
      </c>
      <c r="M11" s="82"/>
    </row>
    <row r="12" spans="2:13" ht="25.5" x14ac:dyDescent="0.25">
      <c r="B12" s="10">
        <f t="shared" ref="B12" si="1">SUM(B5:B11)</f>
        <v>4812</v>
      </c>
      <c r="C12" s="10">
        <f t="shared" ref="C12" si="2">SUM(C5:C11)</f>
        <v>15869</v>
      </c>
      <c r="D12" s="10">
        <f t="shared" ref="D12" si="3">SUM(D5:D11)</f>
        <v>20895</v>
      </c>
      <c r="E12" s="10">
        <f t="shared" ref="E12:I12" si="4">SUM(E5:E11)</f>
        <v>30507</v>
      </c>
      <c r="F12" s="11">
        <f t="shared" si="0"/>
        <v>0.96442037066539221</v>
      </c>
      <c r="G12" s="10">
        <f t="shared" si="4"/>
        <v>54483</v>
      </c>
      <c r="H12" s="10">
        <f t="shared" si="4"/>
        <v>24630</v>
      </c>
      <c r="I12" s="10">
        <f t="shared" si="4"/>
        <v>50113</v>
      </c>
      <c r="J12" s="10">
        <f>SUM(J5:J11)</f>
        <v>56493</v>
      </c>
      <c r="K12" s="83" t="s">
        <v>9</v>
      </c>
      <c r="L12" s="84"/>
      <c r="M12" s="82"/>
    </row>
    <row r="13" spans="2:13" ht="25.5" x14ac:dyDescent="0.25">
      <c r="B13" s="8">
        <v>78</v>
      </c>
      <c r="C13" s="8">
        <v>580</v>
      </c>
      <c r="D13" s="8">
        <v>1520</v>
      </c>
      <c r="E13" s="8">
        <v>2879</v>
      </c>
      <c r="F13" s="9">
        <f t="shared" si="0"/>
        <v>0.92489357389012772</v>
      </c>
      <c r="G13" s="8">
        <v>9125</v>
      </c>
      <c r="H13" s="8">
        <v>2132</v>
      </c>
      <c r="I13" s="8">
        <v>9866</v>
      </c>
      <c r="J13" s="8">
        <v>9866</v>
      </c>
      <c r="K13" s="68" t="s">
        <v>5</v>
      </c>
      <c r="L13" s="12">
        <v>8</v>
      </c>
      <c r="M13" s="82" t="s">
        <v>7</v>
      </c>
    </row>
    <row r="14" spans="2:13" ht="25.5" x14ac:dyDescent="0.25">
      <c r="B14" s="8">
        <v>1352</v>
      </c>
      <c r="C14" s="8">
        <v>3392</v>
      </c>
      <c r="D14" s="8">
        <v>5348</v>
      </c>
      <c r="E14" s="8">
        <v>6028</v>
      </c>
      <c r="F14" s="9">
        <v>0.04</v>
      </c>
      <c r="G14" s="8">
        <v>6300</v>
      </c>
      <c r="H14" s="8">
        <v>4203</v>
      </c>
      <c r="I14" s="8">
        <v>5974</v>
      </c>
      <c r="J14" s="8">
        <v>6300</v>
      </c>
      <c r="K14" s="69" t="s">
        <v>21</v>
      </c>
      <c r="L14" s="12">
        <v>9</v>
      </c>
      <c r="M14" s="82"/>
    </row>
    <row r="15" spans="2:13" ht="25.5" x14ac:dyDescent="0.25">
      <c r="B15" s="8">
        <v>1404</v>
      </c>
      <c r="C15" s="8">
        <v>1474</v>
      </c>
      <c r="D15" s="8">
        <v>1577</v>
      </c>
      <c r="E15" s="8">
        <v>1697</v>
      </c>
      <c r="F15" s="9">
        <f t="shared" si="0"/>
        <v>0.95894736842105266</v>
      </c>
      <c r="G15" s="8">
        <v>1822</v>
      </c>
      <c r="H15" s="8">
        <v>1529</v>
      </c>
      <c r="I15" s="8">
        <v>1603</v>
      </c>
      <c r="J15" s="8">
        <v>1900</v>
      </c>
      <c r="K15" s="68" t="s">
        <v>6</v>
      </c>
      <c r="L15" s="12">
        <v>10</v>
      </c>
      <c r="M15" s="82"/>
    </row>
    <row r="16" spans="2:13" ht="25.5" x14ac:dyDescent="0.25">
      <c r="B16" s="8">
        <v>468</v>
      </c>
      <c r="C16" s="8">
        <v>779</v>
      </c>
      <c r="D16" s="8">
        <v>925</v>
      </c>
      <c r="E16" s="8">
        <v>1026</v>
      </c>
      <c r="F16" s="9">
        <f t="shared" si="0"/>
        <v>0.84916201117318435</v>
      </c>
      <c r="G16" s="8">
        <v>1064</v>
      </c>
      <c r="H16" s="8">
        <v>988</v>
      </c>
      <c r="I16" s="8">
        <v>1082</v>
      </c>
      <c r="J16" s="8">
        <v>1253</v>
      </c>
      <c r="K16" s="68" t="s">
        <v>18</v>
      </c>
      <c r="L16" s="12">
        <v>11</v>
      </c>
      <c r="M16" s="82"/>
    </row>
    <row r="17" spans="2:13" ht="25.5" x14ac:dyDescent="0.25">
      <c r="B17" s="8">
        <v>177</v>
      </c>
      <c r="C17" s="8">
        <v>177</v>
      </c>
      <c r="D17" s="8">
        <v>177</v>
      </c>
      <c r="E17" s="8">
        <v>177</v>
      </c>
      <c r="F17" s="9">
        <f>G17/J17</f>
        <v>1</v>
      </c>
      <c r="G17" s="8">
        <v>177</v>
      </c>
      <c r="H17" s="8">
        <v>0</v>
      </c>
      <c r="I17" s="8">
        <v>0</v>
      </c>
      <c r="J17" s="8">
        <v>177</v>
      </c>
      <c r="K17" s="68" t="s">
        <v>23</v>
      </c>
      <c r="L17" s="12">
        <v>12</v>
      </c>
      <c r="M17" s="82"/>
    </row>
    <row r="18" spans="2:13" ht="25.5" x14ac:dyDescent="0.25">
      <c r="B18" s="8">
        <v>0</v>
      </c>
      <c r="C18" s="8">
        <v>0</v>
      </c>
      <c r="D18" s="8">
        <v>0</v>
      </c>
      <c r="E18" s="8">
        <v>0</v>
      </c>
      <c r="F18" s="9">
        <f>G18/J18</f>
        <v>1</v>
      </c>
      <c r="G18" s="8">
        <v>2128</v>
      </c>
      <c r="H18" s="8">
        <v>0</v>
      </c>
      <c r="I18" s="8">
        <v>0</v>
      </c>
      <c r="J18" s="8">
        <v>2128</v>
      </c>
      <c r="K18" s="70" t="s">
        <v>24</v>
      </c>
      <c r="L18" s="12">
        <v>13</v>
      </c>
      <c r="M18" s="82"/>
    </row>
    <row r="19" spans="2:13" ht="25.5" x14ac:dyDescent="0.25">
      <c r="B19" s="8">
        <v>0</v>
      </c>
      <c r="C19" s="8">
        <v>1186</v>
      </c>
      <c r="D19" s="8">
        <v>2357</v>
      </c>
      <c r="E19" s="8">
        <v>2953</v>
      </c>
      <c r="F19" s="9">
        <f>G19/J19</f>
        <v>1</v>
      </c>
      <c r="G19" s="8">
        <v>3155</v>
      </c>
      <c r="H19" s="8">
        <v>3155</v>
      </c>
      <c r="I19" s="8">
        <v>3155</v>
      </c>
      <c r="J19" s="8">
        <v>3155</v>
      </c>
      <c r="K19" s="68" t="s">
        <v>25</v>
      </c>
      <c r="L19" s="12">
        <v>14</v>
      </c>
      <c r="M19" s="82"/>
    </row>
    <row r="20" spans="2:13" ht="25.5" x14ac:dyDescent="0.25">
      <c r="B20" s="3">
        <f t="shared" ref="B20" si="5">SUM(B13:B19)</f>
        <v>3479</v>
      </c>
      <c r="C20" s="3">
        <f t="shared" ref="C20" si="6">SUM(C13:C19)</f>
        <v>7588</v>
      </c>
      <c r="D20" s="3">
        <f t="shared" ref="D20" si="7">SUM(D13:D19)</f>
        <v>11904</v>
      </c>
      <c r="E20" s="3">
        <f t="shared" ref="E20:I20" si="8">SUM(E13:E19)</f>
        <v>14760</v>
      </c>
      <c r="F20" s="5">
        <f t="shared" si="0"/>
        <v>0.95932039226764598</v>
      </c>
      <c r="G20" s="3">
        <f t="shared" si="8"/>
        <v>23771</v>
      </c>
      <c r="H20" s="3">
        <f t="shared" si="8"/>
        <v>12007</v>
      </c>
      <c r="I20" s="3">
        <f t="shared" si="8"/>
        <v>21680</v>
      </c>
      <c r="J20" s="3">
        <f>SUM(J13:J19)</f>
        <v>24779</v>
      </c>
      <c r="K20" s="83" t="s">
        <v>9</v>
      </c>
      <c r="L20" s="84"/>
      <c r="M20" s="82"/>
    </row>
    <row r="21" spans="2:13" ht="34.5" x14ac:dyDescent="0.75">
      <c r="B21" s="4">
        <f t="shared" ref="B21:I21" si="9">B20+B12</f>
        <v>8291</v>
      </c>
      <c r="C21" s="4">
        <f t="shared" si="9"/>
        <v>23457</v>
      </c>
      <c r="D21" s="4">
        <f t="shared" si="9"/>
        <v>32799</v>
      </c>
      <c r="E21" s="4">
        <f t="shared" si="9"/>
        <v>45267</v>
      </c>
      <c r="F21" s="7">
        <f t="shared" si="0"/>
        <v>0.96159942982833413</v>
      </c>
      <c r="G21" s="6">
        <f t="shared" si="9"/>
        <v>78254</v>
      </c>
      <c r="H21" s="4">
        <f t="shared" si="9"/>
        <v>36637</v>
      </c>
      <c r="I21" s="4">
        <f t="shared" si="9"/>
        <v>71793</v>
      </c>
      <c r="J21" s="6">
        <f>J20+J12+107</f>
        <v>81379</v>
      </c>
      <c r="K21" s="80" t="s">
        <v>61</v>
      </c>
      <c r="L21" s="80"/>
      <c r="M21" s="80"/>
    </row>
  </sheetData>
  <mergeCells count="7">
    <mergeCell ref="B2:M2"/>
    <mergeCell ref="K21:M21"/>
    <mergeCell ref="K4:M4"/>
    <mergeCell ref="M5:M12"/>
    <mergeCell ref="M13:M20"/>
    <mergeCell ref="K12:L12"/>
    <mergeCell ref="K20:L20"/>
  </mergeCells>
  <printOptions horizontalCentered="1" verticalCentered="1"/>
  <pageMargins left="0.7" right="0.7" top="0.75" bottom="0.75" header="0.3" footer="0.3"/>
  <pageSetup paperSize="9" scale="74" orientation="landscape" r:id="rId1"/>
  <ignoredErrors>
    <ignoredError sqref="F12 F20:F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R20"/>
  <sheetViews>
    <sheetView rightToLeft="1" tabSelected="1" zoomScale="55" zoomScaleNormal="55" zoomScaleSheetLayoutView="80" workbookViewId="0">
      <selection activeCell="C33" sqref="C33"/>
    </sheetView>
  </sheetViews>
  <sheetFormatPr defaultColWidth="9.140625" defaultRowHeight="15" x14ac:dyDescent="0.25"/>
  <cols>
    <col min="1" max="1" width="11.5703125" style="13" customWidth="1"/>
    <col min="2" max="2" width="8" style="13" customWidth="1"/>
    <col min="3" max="3" width="18" style="14" customWidth="1"/>
    <col min="4" max="4" width="15" style="15" customWidth="1"/>
    <col min="5" max="7" width="20.7109375" style="13" customWidth="1"/>
    <col min="8" max="8" width="15.7109375" style="13" customWidth="1"/>
    <col min="9" max="9" width="20.7109375" style="13" customWidth="1"/>
    <col min="10" max="10" width="16.5703125" style="13" customWidth="1"/>
    <col min="11" max="11" width="20.7109375" style="13" customWidth="1"/>
    <col min="12" max="12" width="16.28515625" style="13" customWidth="1"/>
    <col min="13" max="13" width="21.42578125" style="13" customWidth="1"/>
    <col min="14" max="14" width="20.140625" style="13" customWidth="1"/>
    <col min="15" max="15" width="19.5703125" style="13" customWidth="1"/>
    <col min="16" max="16" width="17.42578125" style="13" customWidth="1"/>
    <col min="17" max="17" width="19.140625" style="13" customWidth="1"/>
    <col min="18" max="18" width="18" style="13" customWidth="1"/>
    <col min="19" max="19" width="18.5703125" style="13" customWidth="1"/>
    <col min="20" max="16384" width="9.140625" style="13"/>
  </cols>
  <sheetData>
    <row r="3" spans="1:18" ht="15.75" thickBot="1" x14ac:dyDescent="0.3"/>
    <row r="4" spans="1:18" ht="73.5" customHeight="1" thickBot="1" x14ac:dyDescent="0.3">
      <c r="B4" s="88" t="s">
        <v>58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90"/>
    </row>
    <row r="5" spans="1:18" ht="46.5" customHeight="1" x14ac:dyDescent="0.25">
      <c r="B5" s="91" t="s">
        <v>26</v>
      </c>
      <c r="C5" s="93" t="s">
        <v>27</v>
      </c>
      <c r="D5" s="93"/>
      <c r="E5" s="93" t="s">
        <v>28</v>
      </c>
      <c r="F5" s="95" t="s">
        <v>29</v>
      </c>
      <c r="G5" s="97" t="s">
        <v>30</v>
      </c>
      <c r="H5" s="98"/>
      <c r="I5" s="99" t="s">
        <v>31</v>
      </c>
      <c r="J5" s="100"/>
      <c r="K5" s="97" t="s">
        <v>32</v>
      </c>
      <c r="L5" s="98"/>
      <c r="M5" s="101" t="s">
        <v>33</v>
      </c>
    </row>
    <row r="6" spans="1:18" ht="53.25" customHeight="1" thickBot="1" x14ac:dyDescent="0.3">
      <c r="A6" s="13" t="s">
        <v>34</v>
      </c>
      <c r="B6" s="92"/>
      <c r="C6" s="94"/>
      <c r="D6" s="94"/>
      <c r="E6" s="94"/>
      <c r="F6" s="96"/>
      <c r="G6" s="16" t="s">
        <v>35</v>
      </c>
      <c r="H6" s="17" t="s">
        <v>36</v>
      </c>
      <c r="I6" s="18" t="s">
        <v>35</v>
      </c>
      <c r="J6" s="19" t="s">
        <v>37</v>
      </c>
      <c r="K6" s="16" t="s">
        <v>35</v>
      </c>
      <c r="L6" s="17" t="s">
        <v>38</v>
      </c>
      <c r="M6" s="102"/>
    </row>
    <row r="7" spans="1:18" ht="50.1" customHeight="1" x14ac:dyDescent="0.6">
      <c r="A7" s="13">
        <v>9</v>
      </c>
      <c r="B7" s="20">
        <v>1</v>
      </c>
      <c r="C7" s="21" t="s">
        <v>39</v>
      </c>
      <c r="D7" s="22"/>
      <c r="E7" s="23">
        <v>24000</v>
      </c>
      <c r="F7" s="24" t="s">
        <v>40</v>
      </c>
      <c r="G7" s="25">
        <f t="shared" ref="G7:G12" si="0">E7</f>
        <v>24000</v>
      </c>
      <c r="H7" s="26">
        <f>G7/E7</f>
        <v>1</v>
      </c>
      <c r="I7" s="27">
        <v>16752</v>
      </c>
      <c r="J7" s="26">
        <f t="shared" ref="J7:J13" si="1">IFERROR(I7/G7,0)</f>
        <v>0.69799999999999995</v>
      </c>
      <c r="K7" s="25">
        <v>5297</v>
      </c>
      <c r="L7" s="26">
        <f t="shared" ref="L7:L13" si="2">IFERROR(K7/I7,0)</f>
        <v>0.31620105062082138</v>
      </c>
      <c r="M7" s="28">
        <v>7443.55</v>
      </c>
      <c r="R7" s="29"/>
    </row>
    <row r="8" spans="1:18" ht="50.1" customHeight="1" x14ac:dyDescent="0.35">
      <c r="A8" s="13">
        <v>6</v>
      </c>
      <c r="B8" s="30">
        <v>2</v>
      </c>
      <c r="C8" s="31" t="s">
        <v>41</v>
      </c>
      <c r="D8" s="32"/>
      <c r="E8" s="33">
        <v>12545</v>
      </c>
      <c r="F8" s="34" t="s">
        <v>40</v>
      </c>
      <c r="G8" s="35">
        <f t="shared" si="0"/>
        <v>12545</v>
      </c>
      <c r="H8" s="36">
        <f>G8/E8</f>
        <v>1</v>
      </c>
      <c r="I8" s="37">
        <v>9300</v>
      </c>
      <c r="J8" s="36">
        <f t="shared" si="1"/>
        <v>0.7413312076524512</v>
      </c>
      <c r="K8" s="35">
        <v>2230</v>
      </c>
      <c r="L8" s="36">
        <f t="shared" si="2"/>
        <v>0.23978494623655913</v>
      </c>
      <c r="M8" s="38">
        <v>2720.1</v>
      </c>
      <c r="R8" s="29"/>
    </row>
    <row r="9" spans="1:18" ht="50.1" customHeight="1" x14ac:dyDescent="0.6">
      <c r="A9" s="13">
        <v>7</v>
      </c>
      <c r="B9" s="39">
        <v>3</v>
      </c>
      <c r="C9" s="40" t="s">
        <v>42</v>
      </c>
      <c r="D9" s="41"/>
      <c r="E9" s="33">
        <v>5455</v>
      </c>
      <c r="F9" s="34" t="s">
        <v>43</v>
      </c>
      <c r="G9" s="35">
        <f t="shared" si="0"/>
        <v>5455</v>
      </c>
      <c r="H9" s="36">
        <f>G9/E9</f>
        <v>1</v>
      </c>
      <c r="I9" s="37">
        <v>3325</v>
      </c>
      <c r="J9" s="36">
        <f t="shared" si="1"/>
        <v>0.60953253895508708</v>
      </c>
      <c r="K9" s="35">
        <v>442</v>
      </c>
      <c r="L9" s="36">
        <f t="shared" si="2"/>
        <v>0.13293233082706768</v>
      </c>
      <c r="M9" s="38">
        <v>418.35</v>
      </c>
      <c r="R9" s="29"/>
    </row>
    <row r="10" spans="1:18" ht="50.1" customHeight="1" x14ac:dyDescent="0.6">
      <c r="A10" s="13">
        <v>5</v>
      </c>
      <c r="B10" s="30">
        <v>4</v>
      </c>
      <c r="C10" s="31" t="s">
        <v>44</v>
      </c>
      <c r="D10" s="41"/>
      <c r="E10" s="33">
        <v>24000</v>
      </c>
      <c r="F10" s="34" t="s">
        <v>45</v>
      </c>
      <c r="G10" s="35">
        <f t="shared" si="0"/>
        <v>24000</v>
      </c>
      <c r="H10" s="36">
        <v>0</v>
      </c>
      <c r="I10" s="37">
        <v>10073</v>
      </c>
      <c r="J10" s="36">
        <f t="shared" si="1"/>
        <v>0.41970833333333335</v>
      </c>
      <c r="K10" s="35">
        <v>1424</v>
      </c>
      <c r="L10" s="36">
        <f t="shared" si="2"/>
        <v>0.14136801350143949</v>
      </c>
      <c r="M10" s="38">
        <v>1396.35</v>
      </c>
      <c r="R10" s="29"/>
    </row>
    <row r="11" spans="1:18" ht="50.1" customHeight="1" x14ac:dyDescent="0.35">
      <c r="A11" s="13">
        <v>1</v>
      </c>
      <c r="B11" s="30">
        <v>5</v>
      </c>
      <c r="C11" s="40" t="s">
        <v>46</v>
      </c>
      <c r="D11" s="32"/>
      <c r="E11" s="33">
        <v>6000</v>
      </c>
      <c r="F11" s="34" t="s">
        <v>47</v>
      </c>
      <c r="G11" s="35">
        <f t="shared" si="0"/>
        <v>6000</v>
      </c>
      <c r="H11" s="36">
        <v>0</v>
      </c>
      <c r="I11" s="37">
        <v>711</v>
      </c>
      <c r="J11" s="36">
        <f t="shared" si="1"/>
        <v>0.11849999999999999</v>
      </c>
      <c r="K11" s="35">
        <v>9</v>
      </c>
      <c r="L11" s="36">
        <f t="shared" si="2"/>
        <v>1.2658227848101266E-2</v>
      </c>
      <c r="M11" s="38">
        <v>3</v>
      </c>
      <c r="R11" s="29"/>
    </row>
    <row r="12" spans="1:18" ht="50.1" customHeight="1" x14ac:dyDescent="0.6">
      <c r="A12" s="13">
        <v>8</v>
      </c>
      <c r="B12" s="39">
        <v>6</v>
      </c>
      <c r="C12" s="40" t="s">
        <v>48</v>
      </c>
      <c r="D12" s="41"/>
      <c r="E12" s="33">
        <v>24000</v>
      </c>
      <c r="F12" s="34" t="s">
        <v>49</v>
      </c>
      <c r="G12" s="35">
        <f t="shared" si="0"/>
        <v>24000</v>
      </c>
      <c r="H12" s="36">
        <v>0</v>
      </c>
      <c r="I12" s="37">
        <v>2122</v>
      </c>
      <c r="J12" s="36">
        <f t="shared" si="1"/>
        <v>8.8416666666666671E-2</v>
      </c>
      <c r="K12" s="35">
        <v>11</v>
      </c>
      <c r="L12" s="36">
        <f t="shared" si="2"/>
        <v>5.1837888784165885E-3</v>
      </c>
      <c r="M12" s="38">
        <v>7.5</v>
      </c>
      <c r="R12" s="29"/>
    </row>
    <row r="13" spans="1:18" ht="53.25" customHeight="1" thickBot="1" x14ac:dyDescent="0.65">
      <c r="A13" s="13">
        <v>2</v>
      </c>
      <c r="B13" s="42">
        <v>7</v>
      </c>
      <c r="C13" s="43" t="s">
        <v>50</v>
      </c>
      <c r="D13" s="44"/>
      <c r="E13" s="45">
        <v>24000</v>
      </c>
      <c r="F13" s="46" t="s">
        <v>51</v>
      </c>
      <c r="G13" s="47">
        <v>0</v>
      </c>
      <c r="H13" s="48">
        <v>0</v>
      </c>
      <c r="I13" s="49">
        <v>0</v>
      </c>
      <c r="J13" s="48">
        <f t="shared" si="1"/>
        <v>0</v>
      </c>
      <c r="K13" s="47">
        <v>0</v>
      </c>
      <c r="L13" s="48">
        <f t="shared" si="2"/>
        <v>0</v>
      </c>
      <c r="M13" s="50">
        <v>0</v>
      </c>
      <c r="R13" s="29"/>
    </row>
    <row r="14" spans="1:18" ht="47.25" customHeight="1" thickBot="1" x14ac:dyDescent="0.3">
      <c r="B14" s="85" t="s">
        <v>9</v>
      </c>
      <c r="C14" s="86"/>
      <c r="D14" s="87"/>
      <c r="E14" s="51">
        <f>SUM(E7:E13)</f>
        <v>120000</v>
      </c>
      <c r="F14" s="52" t="s">
        <v>51</v>
      </c>
      <c r="G14" s="53">
        <f>SUM(G7:G13)</f>
        <v>96000</v>
      </c>
      <c r="H14" s="54">
        <f t="shared" ref="H14" si="3">G14/E14</f>
        <v>0.8</v>
      </c>
      <c r="I14" s="55">
        <f>SUM(I7:I13)</f>
        <v>42283</v>
      </c>
      <c r="J14" s="56">
        <f>I14/G14</f>
        <v>0.44044791666666666</v>
      </c>
      <c r="K14" s="53">
        <f>SUM(K7:K13)</f>
        <v>9413</v>
      </c>
      <c r="L14" s="54">
        <f>K14/I14</f>
        <v>0.22261901946408721</v>
      </c>
      <c r="M14" s="57">
        <f>SUM(M7:M13)</f>
        <v>11988.85</v>
      </c>
    </row>
    <row r="20" spans="11:11" x14ac:dyDescent="0.25">
      <c r="K20" s="58"/>
    </row>
  </sheetData>
  <mergeCells count="10">
    <mergeCell ref="B14:D14"/>
    <mergeCell ref="B4:M4"/>
    <mergeCell ref="B5:B6"/>
    <mergeCell ref="C5:D6"/>
    <mergeCell ref="E5:E6"/>
    <mergeCell ref="F5:F6"/>
    <mergeCell ref="G5:H5"/>
    <mergeCell ref="I5:J5"/>
    <mergeCell ref="K5:L5"/>
    <mergeCell ref="M5:M6"/>
  </mergeCells>
  <printOptions horizontalCentered="1" verticalCentered="1"/>
  <pageMargins left="3.937007874015748E-2" right="3.937007874015748E-2" top="3.937007874015748E-2" bottom="3.937007874015748E-2" header="0" footer="0"/>
  <pageSetup paperSize="9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روکش کلی</vt:lpstr>
      <vt:lpstr>پیشرفت فیزیکی</vt:lpstr>
      <vt:lpstr>گزارش عملکرد بانک ها </vt:lpstr>
      <vt:lpstr>'پیشرفت فیزیکی'!Print_Area</vt:lpstr>
      <vt:lpstr>'گزارش عملکرد بانک ها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Rostami</dc:creator>
  <cp:lastModifiedBy>Ali Asgari</cp:lastModifiedBy>
  <cp:lastPrinted>2026-09-12T07:37:08Z</cp:lastPrinted>
  <dcterms:created xsi:type="dcterms:W3CDTF">2015-06-05T18:17:20Z</dcterms:created>
  <dcterms:modified xsi:type="dcterms:W3CDTF">2026-09-20T06:23:28Z</dcterms:modified>
</cp:coreProperties>
</file>