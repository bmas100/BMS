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LandAffairs\"/>
    </mc:Choice>
  </mc:AlternateContent>
  <xr:revisionPtr revIDLastSave="0" documentId="8_{AEF6AB73-AED9-48DE-855D-F365E6CBB34C}" xr6:coauthVersionLast="47" xr6:coauthVersionMax="47" xr10:uidLastSave="{00000000-0000-0000-0000-000000000000}"/>
  <bookViews>
    <workbookView xWindow="7296" yWindow="276" windowWidth="17280" windowHeight="9912" firstSheet="1" activeTab="5" xr2:uid="{09F5B521-4354-4D13-A6BD-1D19C34F087F}"/>
  </bookViews>
  <sheets>
    <sheet name="اخذ سند" sheetId="2" r:id="rId1"/>
    <sheet name="درآمد هزینه واگذاری" sheetId="3" r:id="rId2"/>
    <sheet name="سند روستایی" sheetId="4" r:id="rId3"/>
    <sheet name="سند شهری" sheetId="5" r:id="rId4"/>
    <sheet name="تملک" sheetId="6" r:id="rId5"/>
    <sheet name="واگذاری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5" l="1"/>
  <c r="E36" i="5"/>
  <c r="F36" i="5"/>
  <c r="G36" i="5"/>
  <c r="H36" i="5"/>
  <c r="I36" i="5"/>
  <c r="D36" i="4"/>
  <c r="E36" i="4"/>
  <c r="F36" i="4"/>
  <c r="G36" i="4"/>
  <c r="H36" i="4"/>
  <c r="I36" i="4"/>
  <c r="J36" i="4"/>
  <c r="K36" i="4"/>
  <c r="D35" i="2"/>
  <c r="E35" i="2"/>
</calcChain>
</file>

<file path=xl/sharedStrings.xml><?xml version="1.0" encoding="utf-8"?>
<sst xmlns="http://schemas.openxmlformats.org/spreadsheetml/2006/main" count="281" uniqueCount="86">
  <si>
    <t>کاربر گزارش گیرنده : نوروش موسی پور</t>
  </si>
  <si>
    <t>جمع کل</t>
  </si>
  <si>
    <t>يزد</t>
  </si>
  <si>
    <t>همدان</t>
  </si>
  <si>
    <t xml:space="preserve">هرمزگان </t>
  </si>
  <si>
    <t>مركزي</t>
  </si>
  <si>
    <t xml:space="preserve">مازندران </t>
  </si>
  <si>
    <t xml:space="preserve">لرستان </t>
  </si>
  <si>
    <t>گيلان</t>
  </si>
  <si>
    <t xml:space="preserve">گلستان </t>
  </si>
  <si>
    <t>كهگيلويه و بويراحمد</t>
  </si>
  <si>
    <t>كرمانشاه</t>
  </si>
  <si>
    <t>كرمان</t>
  </si>
  <si>
    <t>كردستان</t>
  </si>
  <si>
    <t>قم</t>
  </si>
  <si>
    <t xml:space="preserve">قزوين </t>
  </si>
  <si>
    <t>فارس</t>
  </si>
  <si>
    <t xml:space="preserve">سيستان و بلوچستان </t>
  </si>
  <si>
    <t xml:space="preserve">سمنان </t>
  </si>
  <si>
    <t xml:space="preserve">زنجان </t>
  </si>
  <si>
    <t xml:space="preserve">خوزستان </t>
  </si>
  <si>
    <t xml:space="preserve">خراسان شمالي </t>
  </si>
  <si>
    <t>خراسان رضوي</t>
  </si>
  <si>
    <t>خراسان جنوبي</t>
  </si>
  <si>
    <t xml:space="preserve">چهارمحال و بختياري </t>
  </si>
  <si>
    <t xml:space="preserve">تهران </t>
  </si>
  <si>
    <t>بوشهر</t>
  </si>
  <si>
    <t>ايلام</t>
  </si>
  <si>
    <t>البرز</t>
  </si>
  <si>
    <t>اصفهان</t>
  </si>
  <si>
    <t>اردبيل</t>
  </si>
  <si>
    <t>آذربايجان غربي</t>
  </si>
  <si>
    <t>آذربايجان شرقي</t>
  </si>
  <si>
    <t>مساحت قطعه به هکتار</t>
  </si>
  <si>
    <t>تعداد روستا</t>
  </si>
  <si>
    <t>استان</t>
  </si>
  <si>
    <t>ردیف</t>
  </si>
  <si>
    <t>گزارش (5015) اخذ اسناد اراضی تملک شده   کل کشور       از تاریخ 1405/01/01  تا   1405/07/18   تاریخ گزارش 1405/07/18</t>
  </si>
  <si>
    <t>بنیاد مسکن انقلاب اسلامی</t>
  </si>
  <si>
    <t>جمع</t>
  </si>
  <si>
    <t xml:space="preserve">مانده اعتبار تعریف نشده </t>
  </si>
  <si>
    <t>تایید شده</t>
  </si>
  <si>
    <t>تعریف شده</t>
  </si>
  <si>
    <t xml:space="preserve"> درصد کل درآمد</t>
  </si>
  <si>
    <t>کل درآمد</t>
  </si>
  <si>
    <t/>
  </si>
  <si>
    <t>نوروش موسی پور</t>
  </si>
  <si>
    <t>گزارش گیرنده :</t>
  </si>
  <si>
    <t>1405/07/18</t>
  </si>
  <si>
    <t>تاریخ گزارشگیری :</t>
  </si>
  <si>
    <t>* ستونهای پرونده ارسالی به ثبت و تعداد رای صادره ، مجموع اسناد روستایی و روستاهای تبدیلی به شهر است</t>
  </si>
  <si>
    <t>واحد مسکونی یا قطعه</t>
  </si>
  <si>
    <t>جلد سند</t>
  </si>
  <si>
    <t>تعداد اسناد صادره روستاهایی که به شهر تبدیل شده اند</t>
  </si>
  <si>
    <t>تعداد اسناد صادره روستایی</t>
  </si>
  <si>
    <t>تعداد رای صادره</t>
  </si>
  <si>
    <t>تعداد نقشه A4</t>
  </si>
  <si>
    <t>تعداد پرونده های ارسالی به ثبت</t>
  </si>
  <si>
    <t>تعداد کل روستاها</t>
  </si>
  <si>
    <t>گزارش (5011) وضعیت صدور سند بنیاد انقلاب اسلامی  براساس  روستا  از 1405/01/01 تا 1405/07/18                       تاریخ گزارش 1405/07/18</t>
  </si>
  <si>
    <t>تعداد اسناد صادره شهری</t>
  </si>
  <si>
    <t>تعداد کل شهرها</t>
  </si>
  <si>
    <t>گزارش (5011) وضعیت صدور سند بنیاد انقلاب اسلامی  براساس  شهر  از 1405/01/01 تا 1405/07/18                       تاریخ گزارش 1405/07/18</t>
  </si>
  <si>
    <t>هرمزگان</t>
  </si>
  <si>
    <t>مازندران</t>
  </si>
  <si>
    <t>لرستان</t>
  </si>
  <si>
    <t>گلستان</t>
  </si>
  <si>
    <t>قزوين</t>
  </si>
  <si>
    <t>سيستان و بلوچستان</t>
  </si>
  <si>
    <t>سمنان</t>
  </si>
  <si>
    <t>زنجان</t>
  </si>
  <si>
    <t>خوزستان</t>
  </si>
  <si>
    <t>خراسان شمالي</t>
  </si>
  <si>
    <t>چهارمحال و بختياري</t>
  </si>
  <si>
    <t>تهران</t>
  </si>
  <si>
    <t>CountDeh</t>
  </si>
  <si>
    <t>مساحت کل تملک (متر مربع)</t>
  </si>
  <si>
    <t>تعداد قطعات</t>
  </si>
  <si>
    <t>نام شهرستان</t>
  </si>
  <si>
    <t>نام استان</t>
  </si>
  <si>
    <t>همه</t>
  </si>
  <si>
    <t>مجموع درآمد (ریال)</t>
  </si>
  <si>
    <t>درآمد منفی (ریال)</t>
  </si>
  <si>
    <t>مبلغ متمم (ریال)</t>
  </si>
  <si>
    <t>درآمد واگذاری (ریال)</t>
  </si>
  <si>
    <t>مساحت (متر مربع)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</si>
</sst>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78"/>
    </font>
    <font>
      <b/>
      <sz val="15"/>
      <color indexed="8"/>
      <name val="B Zar"/>
      <charset val="178"/>
    </font>
    <font>
      <sz val="16"/>
      <color indexed="8"/>
      <name val="B Zar"/>
      <charset val="178"/>
    </font>
    <font>
      <sz val="11"/>
      <color indexed="8"/>
      <name val="Calibri"/>
      <family val="2"/>
    </font>
    <font>
      <b/>
      <sz val="12"/>
      <color indexed="8"/>
      <name val="B Nazanin"/>
      <charset val="178"/>
    </font>
    <font>
      <sz val="12"/>
      <color indexed="8"/>
      <name val="Calibri"/>
      <family val="2"/>
    </font>
    <font>
      <sz val="12"/>
      <color indexed="8"/>
      <name val="B Nazanin"/>
      <charset val="178"/>
    </font>
    <font>
      <b/>
      <sz val="12"/>
      <color indexed="8"/>
      <name val="B Zar"/>
      <charset val="178"/>
    </font>
    <font>
      <sz val="15"/>
      <color indexed="8"/>
      <name val="B Zar"/>
      <charset val="178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B9BD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rgb="FF9BC2E6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5">
    <xf numFmtId="0" fontId="0" fillId="0" borderId="0" xfId="0"/>
    <xf numFmtId="0" fontId="1" fillId="0" borderId="0" xfId="1"/>
    <xf numFmtId="0" fontId="1" fillId="0" borderId="0" xfId="1" applyAlignment="1">
      <alignment horizontal="right"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0" xfId="2"/>
    <xf numFmtId="0" fontId="5" fillId="0" borderId="6" xfId="2" applyFont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horizontal="right" vertical="center"/>
    </xf>
    <xf numFmtId="0" fontId="4" fillId="0" borderId="0" xfId="2" applyAlignment="1">
      <alignment readingOrder="2"/>
    </xf>
    <xf numFmtId="0" fontId="1" fillId="0" borderId="0" xfId="1" applyAlignment="1">
      <alignment horizontal="right"/>
    </xf>
    <xf numFmtId="0" fontId="8" fillId="0" borderId="7" xfId="1" applyFont="1" applyBorder="1" applyAlignment="1">
      <alignment horizontal="right" vertical="center" readingOrder="2"/>
    </xf>
    <xf numFmtId="0" fontId="2" fillId="0" borderId="6" xfId="1" applyFont="1" applyBorder="1" applyAlignment="1">
      <alignment horizont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1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49" fontId="0" fillId="0" borderId="0" xfId="0" applyNumberFormat="1"/>
    <xf numFmtId="0" fontId="4" fillId="3" borderId="15" xfId="2" applyFill="1" applyBorder="1"/>
    <xf numFmtId="0" fontId="10" fillId="4" borderId="16" xfId="2" applyFont="1" applyFill="1" applyBorder="1"/>
  </cellXfs>
  <cellStyles count="3">
    <cellStyle name="Normal" xfId="0" builtinId="0"/>
    <cellStyle name="Normal 2" xfId="1" xr:uid="{EB96318C-4367-4064-9B37-EDA6F9F94C6A}"/>
    <cellStyle name="Normal 3" xfId="2" xr:uid="{31C6035A-5B2B-41FB-B45A-24791430FF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42C1C-D7CF-49BD-8416-5D1908E2130B}" name="Table1" displayName="Table1" ref="A1:E32" totalsRowShown="0">
  <autoFilter ref="A1:E32" xr:uid="{A279464D-F81D-4D06-8CFF-2BEDB09C6520}"/>
  <tableColumns count="5">
    <tableColumn id="1" xr3:uid="{84B8C8FC-E36C-4413-908F-93946E7CD2EF}" name="نام استان"/>
    <tableColumn id="2" xr3:uid="{8040C978-009F-4896-A3F3-7F81DE496D11}" name="نام شهرستان"/>
    <tableColumn id="3" xr3:uid="{79EEF5EE-77E0-4F25-A47A-0AADDC71D405}" name="تعداد قطعات"/>
    <tableColumn id="4" xr3:uid="{8A94E8EC-2362-4B32-BA64-1930EA1DFFA5}" name="مساحت کل تملک (متر مربع)"/>
    <tableColumn id="5" xr3:uid="{B1011724-EE57-4DB0-8F91-A7C06197E78A}" name="CountDe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88F0-5B51-4535-9987-44A6E0EBF9BC}">
  <dimension ref="A1:E40"/>
  <sheetViews>
    <sheetView rightToLeft="1" workbookViewId="0">
      <selection activeCell="C12" sqref="C12"/>
    </sheetView>
  </sheetViews>
  <sheetFormatPr defaultRowHeight="15" customHeight="1" x14ac:dyDescent="0.3"/>
  <cols>
    <col min="1" max="1" width="2.109375" style="1" customWidth="1"/>
    <col min="2" max="2" width="7.109375" style="1" customWidth="1"/>
    <col min="3" max="3" width="41.44140625" style="1" customWidth="1"/>
    <col min="4" max="4" width="30.5546875" style="1" customWidth="1"/>
    <col min="5" max="5" width="44.33203125" style="1" customWidth="1"/>
    <col min="6" max="16384" width="8.88671875" style="1"/>
  </cols>
  <sheetData>
    <row r="1" spans="2:5" ht="30" customHeight="1" x14ac:dyDescent="0.95">
      <c r="B1" s="10" t="s">
        <v>38</v>
      </c>
      <c r="C1" s="10"/>
      <c r="D1" s="10"/>
      <c r="E1" s="10"/>
    </row>
    <row r="2" spans="2:5" ht="42" customHeight="1" thickBot="1" x14ac:dyDescent="0.35">
      <c r="B2" s="9" t="s">
        <v>37</v>
      </c>
      <c r="C2" s="9"/>
      <c r="D2" s="9"/>
      <c r="E2" s="9"/>
    </row>
    <row r="3" spans="2:5" ht="72" customHeight="1" thickBot="1" x14ac:dyDescent="0.35">
      <c r="B3" s="8" t="s">
        <v>36</v>
      </c>
      <c r="C3" s="8" t="s">
        <v>35</v>
      </c>
      <c r="D3" s="8" t="s">
        <v>34</v>
      </c>
      <c r="E3" s="8" t="s">
        <v>33</v>
      </c>
    </row>
    <row r="4" spans="2:5" ht="25.5" customHeight="1" thickBot="1" x14ac:dyDescent="0.35">
      <c r="B4" s="8">
        <v>1</v>
      </c>
      <c r="C4" s="8" t="s">
        <v>32</v>
      </c>
      <c r="D4" s="8">
        <v>69</v>
      </c>
      <c r="E4" s="8">
        <v>264.53484200000003</v>
      </c>
    </row>
    <row r="5" spans="2:5" ht="25.5" customHeight="1" thickBot="1" x14ac:dyDescent="0.35">
      <c r="B5" s="8">
        <v>2</v>
      </c>
      <c r="C5" s="8" t="s">
        <v>31</v>
      </c>
      <c r="D5" s="8">
        <v>64</v>
      </c>
      <c r="E5" s="8">
        <v>343.382136</v>
      </c>
    </row>
    <row r="6" spans="2:5" ht="25.5" customHeight="1" thickBot="1" x14ac:dyDescent="0.35">
      <c r="B6" s="8">
        <v>3</v>
      </c>
      <c r="C6" s="8" t="s">
        <v>30</v>
      </c>
      <c r="D6" s="8">
        <v>11</v>
      </c>
      <c r="E6" s="8">
        <v>149.01968299999999</v>
      </c>
    </row>
    <row r="7" spans="2:5" ht="25.5" customHeight="1" thickBot="1" x14ac:dyDescent="0.35">
      <c r="B7" s="8">
        <v>4</v>
      </c>
      <c r="C7" s="8" t="s">
        <v>29</v>
      </c>
      <c r="D7" s="8">
        <v>144</v>
      </c>
      <c r="E7" s="8">
        <v>651.03438200000005</v>
      </c>
    </row>
    <row r="8" spans="2:5" ht="25.5" customHeight="1" thickBot="1" x14ac:dyDescent="0.35">
      <c r="B8" s="8">
        <v>5</v>
      </c>
      <c r="C8" s="8" t="s">
        <v>28</v>
      </c>
      <c r="D8" s="8">
        <v>3</v>
      </c>
      <c r="E8" s="8">
        <v>47.820700000000002</v>
      </c>
    </row>
    <row r="9" spans="2:5" ht="25.5" customHeight="1" thickBot="1" x14ac:dyDescent="0.35">
      <c r="B9" s="8">
        <v>6</v>
      </c>
      <c r="C9" s="8" t="s">
        <v>27</v>
      </c>
      <c r="D9" s="8">
        <v>8</v>
      </c>
      <c r="E9" s="8">
        <v>92.770871</v>
      </c>
    </row>
    <row r="10" spans="2:5" ht="25.5" customHeight="1" thickBot="1" x14ac:dyDescent="0.35">
      <c r="B10" s="8">
        <v>7</v>
      </c>
      <c r="C10" s="8" t="s">
        <v>26</v>
      </c>
      <c r="D10" s="8">
        <v>13</v>
      </c>
      <c r="E10" s="8">
        <v>487.34010499999999</v>
      </c>
    </row>
    <row r="11" spans="2:5" ht="25.5" customHeight="1" thickBot="1" x14ac:dyDescent="0.35">
      <c r="B11" s="8">
        <v>8</v>
      </c>
      <c r="C11" s="8" t="s">
        <v>25</v>
      </c>
      <c r="D11" s="8">
        <v>21</v>
      </c>
      <c r="E11" s="8">
        <v>66.929394000000002</v>
      </c>
    </row>
    <row r="12" spans="2:5" ht="25.5" customHeight="1" thickBot="1" x14ac:dyDescent="0.35">
      <c r="B12" s="8">
        <v>9</v>
      </c>
      <c r="C12" s="8" t="s">
        <v>24</v>
      </c>
      <c r="D12" s="8">
        <v>34</v>
      </c>
      <c r="E12" s="8">
        <v>48.530706000000002</v>
      </c>
    </row>
    <row r="13" spans="2:5" ht="25.5" customHeight="1" thickBot="1" x14ac:dyDescent="0.35">
      <c r="B13" s="8">
        <v>10</v>
      </c>
      <c r="C13" s="8" t="s">
        <v>23</v>
      </c>
      <c r="D13" s="8">
        <v>242</v>
      </c>
      <c r="E13" s="8">
        <v>660.32628799999895</v>
      </c>
    </row>
    <row r="14" spans="2:5" ht="25.5" customHeight="1" thickBot="1" x14ac:dyDescent="0.35">
      <c r="B14" s="8">
        <v>11</v>
      </c>
      <c r="C14" s="8" t="s">
        <v>22</v>
      </c>
      <c r="D14" s="8">
        <v>914</v>
      </c>
      <c r="E14" s="8">
        <v>1779.7028430003099</v>
      </c>
    </row>
    <row r="15" spans="2:5" ht="25.5" customHeight="1" thickBot="1" x14ac:dyDescent="0.35">
      <c r="B15" s="8">
        <v>12</v>
      </c>
      <c r="C15" s="8" t="s">
        <v>21</v>
      </c>
      <c r="D15" s="8">
        <v>27</v>
      </c>
      <c r="E15" s="8">
        <v>183.490229</v>
      </c>
    </row>
    <row r="16" spans="2:5" ht="25.5" customHeight="1" thickBot="1" x14ac:dyDescent="0.35">
      <c r="B16" s="8">
        <v>13</v>
      </c>
      <c r="C16" s="8" t="s">
        <v>20</v>
      </c>
      <c r="D16" s="8">
        <v>35</v>
      </c>
      <c r="E16" s="8">
        <v>270.50736699999999</v>
      </c>
    </row>
    <row r="17" spans="2:5" ht="25.5" customHeight="1" thickBot="1" x14ac:dyDescent="0.35">
      <c r="B17" s="8">
        <v>14</v>
      </c>
      <c r="C17" s="8" t="s">
        <v>19</v>
      </c>
      <c r="D17" s="8">
        <v>65</v>
      </c>
      <c r="E17" s="8">
        <v>81.340581999999998</v>
      </c>
    </row>
    <row r="18" spans="2:5" ht="25.5" customHeight="1" thickBot="1" x14ac:dyDescent="0.35">
      <c r="B18" s="8">
        <v>15</v>
      </c>
      <c r="C18" s="8" t="s">
        <v>18</v>
      </c>
      <c r="D18" s="8">
        <v>8</v>
      </c>
      <c r="E18" s="8">
        <v>58.309193</v>
      </c>
    </row>
    <row r="19" spans="2:5" ht="25.5" customHeight="1" thickBot="1" x14ac:dyDescent="0.35">
      <c r="B19" s="8">
        <v>16</v>
      </c>
      <c r="C19" s="8" t="s">
        <v>17</v>
      </c>
      <c r="D19" s="8">
        <v>3</v>
      </c>
      <c r="E19" s="8">
        <v>1250</v>
      </c>
    </row>
    <row r="20" spans="2:5" ht="25.5" customHeight="1" thickBot="1" x14ac:dyDescent="0.35">
      <c r="B20" s="8">
        <v>17</v>
      </c>
      <c r="C20" s="8" t="s">
        <v>16</v>
      </c>
      <c r="D20" s="8">
        <v>67</v>
      </c>
      <c r="E20" s="8">
        <v>783.39702399999999</v>
      </c>
    </row>
    <row r="21" spans="2:5" ht="25.5" customHeight="1" thickBot="1" x14ac:dyDescent="0.35">
      <c r="B21" s="8">
        <v>18</v>
      </c>
      <c r="C21" s="8" t="s">
        <v>15</v>
      </c>
      <c r="D21" s="8">
        <v>4</v>
      </c>
      <c r="E21" s="8">
        <v>11.562192</v>
      </c>
    </row>
    <row r="22" spans="2:5" ht="25.5" customHeight="1" thickBot="1" x14ac:dyDescent="0.35">
      <c r="B22" s="8">
        <v>19</v>
      </c>
      <c r="C22" s="8" t="s">
        <v>14</v>
      </c>
      <c r="D22" s="8">
        <v>23</v>
      </c>
      <c r="E22" s="8">
        <v>67.933060999999995</v>
      </c>
    </row>
    <row r="23" spans="2:5" ht="25.5" customHeight="1" thickBot="1" x14ac:dyDescent="0.35">
      <c r="B23" s="8">
        <v>20</v>
      </c>
      <c r="C23" s="8" t="s">
        <v>13</v>
      </c>
      <c r="D23" s="8">
        <v>20</v>
      </c>
      <c r="E23" s="8">
        <v>42.380541000000001</v>
      </c>
    </row>
    <row r="24" spans="2:5" ht="25.5" customHeight="1" thickBot="1" x14ac:dyDescent="0.35">
      <c r="B24" s="8">
        <v>21</v>
      </c>
      <c r="C24" s="8" t="s">
        <v>12</v>
      </c>
      <c r="D24" s="8">
        <v>47</v>
      </c>
      <c r="E24" s="8">
        <v>370.23571615999998</v>
      </c>
    </row>
    <row r="25" spans="2:5" ht="25.5" customHeight="1" thickBot="1" x14ac:dyDescent="0.35">
      <c r="B25" s="8">
        <v>22</v>
      </c>
      <c r="C25" s="8" t="s">
        <v>11</v>
      </c>
      <c r="D25" s="8">
        <v>81</v>
      </c>
      <c r="E25" s="8">
        <v>112.71379100292999</v>
      </c>
    </row>
    <row r="26" spans="2:5" ht="25.5" customHeight="1" thickBot="1" x14ac:dyDescent="0.35">
      <c r="B26" s="8">
        <v>23</v>
      </c>
      <c r="C26" s="8" t="s">
        <v>10</v>
      </c>
      <c r="D26" s="8">
        <v>28</v>
      </c>
      <c r="E26" s="8">
        <v>194.144373</v>
      </c>
    </row>
    <row r="27" spans="2:5" ht="25.5" customHeight="1" thickBot="1" x14ac:dyDescent="0.35">
      <c r="B27" s="8">
        <v>24</v>
      </c>
      <c r="C27" s="8" t="s">
        <v>9</v>
      </c>
      <c r="D27" s="8">
        <v>158</v>
      </c>
      <c r="E27" s="8">
        <v>416.58229</v>
      </c>
    </row>
    <row r="28" spans="2:5" ht="25.5" customHeight="1" thickBot="1" x14ac:dyDescent="0.35">
      <c r="B28" s="8">
        <v>25</v>
      </c>
      <c r="C28" s="8" t="s">
        <v>8</v>
      </c>
      <c r="D28" s="8">
        <v>29</v>
      </c>
      <c r="E28" s="8">
        <v>13.856049000000001</v>
      </c>
    </row>
    <row r="29" spans="2:5" ht="25.5" customHeight="1" thickBot="1" x14ac:dyDescent="0.35">
      <c r="B29" s="8">
        <v>26</v>
      </c>
      <c r="C29" s="8" t="s">
        <v>7</v>
      </c>
      <c r="D29" s="8">
        <v>21</v>
      </c>
      <c r="E29" s="8">
        <v>15.366070000000001</v>
      </c>
    </row>
    <row r="30" spans="2:5" ht="25.5" customHeight="1" thickBot="1" x14ac:dyDescent="0.35">
      <c r="B30" s="8">
        <v>27</v>
      </c>
      <c r="C30" s="8" t="s">
        <v>6</v>
      </c>
      <c r="D30" s="8">
        <v>3</v>
      </c>
      <c r="E30" s="8">
        <v>16.743500000000001</v>
      </c>
    </row>
    <row r="31" spans="2:5" ht="25.5" customHeight="1" thickBot="1" x14ac:dyDescent="0.35">
      <c r="B31" s="8">
        <v>28</v>
      </c>
      <c r="C31" s="8" t="s">
        <v>5</v>
      </c>
      <c r="D31" s="8">
        <v>4</v>
      </c>
      <c r="E31" s="8">
        <v>14.3094</v>
      </c>
    </row>
    <row r="32" spans="2:5" ht="25.5" customHeight="1" thickBot="1" x14ac:dyDescent="0.35">
      <c r="B32" s="8">
        <v>29</v>
      </c>
      <c r="C32" s="8" t="s">
        <v>4</v>
      </c>
      <c r="D32" s="8">
        <v>3</v>
      </c>
      <c r="E32" s="8">
        <v>209.68511699999999</v>
      </c>
    </row>
    <row r="33" spans="1:5" ht="25.5" customHeight="1" thickBot="1" x14ac:dyDescent="0.35">
      <c r="B33" s="8">
        <v>30</v>
      </c>
      <c r="C33" s="8" t="s">
        <v>3</v>
      </c>
      <c r="D33" s="8">
        <v>1</v>
      </c>
      <c r="E33" s="8">
        <v>6</v>
      </c>
    </row>
    <row r="34" spans="1:5" ht="25.5" customHeight="1" thickBot="1" x14ac:dyDescent="0.35">
      <c r="B34" s="8">
        <v>31</v>
      </c>
      <c r="C34" s="8" t="s">
        <v>2</v>
      </c>
      <c r="D34" s="8">
        <v>23</v>
      </c>
      <c r="E34" s="8">
        <v>89.973150000000004</v>
      </c>
    </row>
    <row r="35" spans="1:5" ht="30.75" customHeight="1" thickBot="1" x14ac:dyDescent="0.8">
      <c r="B35" s="7" t="s">
        <v>1</v>
      </c>
      <c r="C35" s="6"/>
      <c r="D35" s="5">
        <f ca="1">SUM(INDIRECT(ADDRESS(4,COLUMN())): INDIRECT(ADDRESS(ROW()-1,COLUMN())))</f>
        <v>2173</v>
      </c>
      <c r="E35" s="5">
        <f ca="1">SUM(INDIRECT(ADDRESS(4,COLUMN())): INDIRECT(ADDRESS(ROW()-1,COLUMN())))</f>
        <v>8799.9215951632377</v>
      </c>
    </row>
    <row r="36" spans="1:5" ht="14.25" customHeight="1" x14ac:dyDescent="0.75">
      <c r="B36" s="4"/>
      <c r="C36" s="4"/>
      <c r="D36" s="3"/>
      <c r="E36" s="3"/>
    </row>
    <row r="37" spans="1:5" ht="15" customHeight="1" x14ac:dyDescent="0.3">
      <c r="B37" s="2" t="s">
        <v>0</v>
      </c>
      <c r="C37" s="2"/>
    </row>
    <row r="38" spans="1:5" ht="15" customHeight="1" x14ac:dyDescent="0.3">
      <c r="A38" s="2"/>
      <c r="B38" s="2"/>
      <c r="C38" s="2"/>
      <c r="D38" s="2"/>
      <c r="E38" s="2"/>
    </row>
    <row r="39" spans="1:5" ht="15" customHeight="1" x14ac:dyDescent="0.3">
      <c r="A39" s="2"/>
      <c r="B39" s="2"/>
      <c r="C39" s="2"/>
      <c r="D39" s="2"/>
      <c r="E39" s="2"/>
    </row>
    <row r="40" spans="1:5" ht="15" customHeight="1" x14ac:dyDescent="0.3">
      <c r="A40" s="2"/>
      <c r="B40" s="2"/>
      <c r="C40" s="2"/>
      <c r="D40" s="2"/>
      <c r="E40" s="2"/>
    </row>
  </sheetData>
  <mergeCells count="5">
    <mergeCell ref="B1:E1"/>
    <mergeCell ref="B2:E2"/>
    <mergeCell ref="B35:C35"/>
    <mergeCell ref="B37:C37"/>
    <mergeCell ref="A38:E40"/>
  </mergeCells>
  <pageMargins left="0.7" right="0.7" top="0.75" bottom="0.75" header="0.3" footer="0.3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49E7-9A32-4D2E-8206-B97600274BAB}">
  <dimension ref="A1:H40"/>
  <sheetViews>
    <sheetView rightToLeft="1" workbookViewId="0">
      <selection activeCell="E16" sqref="E16"/>
    </sheetView>
  </sheetViews>
  <sheetFormatPr defaultRowHeight="15" customHeight="1" x14ac:dyDescent="0.3"/>
  <cols>
    <col min="1" max="1" width="8.88671875" style="11"/>
    <col min="2" max="2" width="7.6640625" style="11" customWidth="1"/>
    <col min="3" max="3" width="25.33203125" style="11" customWidth="1"/>
    <col min="4" max="4" width="21.5546875" style="11" customWidth="1"/>
    <col min="5" max="5" width="16.21875" style="11" customWidth="1"/>
    <col min="6" max="6" width="15.6640625" style="11" customWidth="1"/>
    <col min="7" max="7" width="16.77734375" style="11" customWidth="1"/>
    <col min="8" max="8" width="21.77734375" style="11" customWidth="1"/>
    <col min="9" max="16384" width="8.88671875" style="11"/>
  </cols>
  <sheetData>
    <row r="1" spans="1:8" ht="18.75" customHeight="1" x14ac:dyDescent="0.3">
      <c r="A1" s="17"/>
      <c r="G1" s="16" t="s">
        <v>49</v>
      </c>
      <c r="H1" s="15" t="s">
        <v>48</v>
      </c>
    </row>
    <row r="2" spans="1:8" ht="18.75" customHeight="1" x14ac:dyDescent="0.3">
      <c r="G2" s="16" t="s">
        <v>47</v>
      </c>
      <c r="H2" s="15" t="s">
        <v>46</v>
      </c>
    </row>
    <row r="3" spans="1:8" ht="15" customHeight="1" x14ac:dyDescent="0.3">
      <c r="C3" s="14" t="s">
        <v>45</v>
      </c>
      <c r="D3" s="14"/>
      <c r="E3" s="14"/>
      <c r="F3" s="14"/>
    </row>
    <row r="4" spans="1:8" ht="15" customHeight="1" x14ac:dyDescent="0.3">
      <c r="C4" s="14"/>
      <c r="D4" s="14"/>
      <c r="E4" s="14"/>
      <c r="F4" s="14"/>
    </row>
    <row r="8" spans="1:8" ht="18.75" customHeight="1" x14ac:dyDescent="0.3">
      <c r="B8" s="13" t="s">
        <v>36</v>
      </c>
      <c r="C8" s="13" t="s">
        <v>45</v>
      </c>
      <c r="D8" s="13" t="s">
        <v>44</v>
      </c>
      <c r="E8" s="13" t="s">
        <v>43</v>
      </c>
      <c r="F8" s="13" t="s">
        <v>42</v>
      </c>
      <c r="G8" s="13" t="s">
        <v>41</v>
      </c>
      <c r="H8" s="13" t="s">
        <v>40</v>
      </c>
    </row>
    <row r="9" spans="1:8" ht="18.75" customHeight="1" x14ac:dyDescent="0.3">
      <c r="B9" s="12">
        <v>1</v>
      </c>
      <c r="C9" s="12" t="s">
        <v>32</v>
      </c>
      <c r="D9" s="12">
        <v>2109879.0299999998</v>
      </c>
      <c r="E9" s="12">
        <v>1139334.68</v>
      </c>
      <c r="F9" s="12">
        <v>533553.23</v>
      </c>
      <c r="G9" s="12">
        <v>442140</v>
      </c>
      <c r="H9" s="12">
        <v>697194.68</v>
      </c>
    </row>
    <row r="10" spans="1:8" ht="18.75" customHeight="1" x14ac:dyDescent="0.3">
      <c r="B10" s="12">
        <v>2</v>
      </c>
      <c r="C10" s="12" t="s">
        <v>31</v>
      </c>
      <c r="D10" s="12">
        <v>1936742.19</v>
      </c>
      <c r="E10" s="12">
        <v>1045840.78</v>
      </c>
      <c r="F10" s="12">
        <v>508889</v>
      </c>
      <c r="G10" s="12">
        <v>442178</v>
      </c>
      <c r="H10" s="12">
        <v>603662.78</v>
      </c>
    </row>
    <row r="11" spans="1:8" ht="18.75" customHeight="1" x14ac:dyDescent="0.3">
      <c r="B11" s="12">
        <v>3</v>
      </c>
      <c r="C11" s="12" t="s">
        <v>30</v>
      </c>
      <c r="D11" s="12">
        <v>610014.12</v>
      </c>
      <c r="E11" s="12">
        <v>329407.62</v>
      </c>
      <c r="F11" s="12">
        <v>2500</v>
      </c>
      <c r="G11" s="12">
        <v>2500</v>
      </c>
      <c r="H11" s="12">
        <v>326907.62</v>
      </c>
    </row>
    <row r="12" spans="1:8" ht="18.75" customHeight="1" x14ac:dyDescent="0.3">
      <c r="B12" s="12">
        <v>4</v>
      </c>
      <c r="C12" s="12" t="s">
        <v>29</v>
      </c>
      <c r="D12" s="12">
        <v>629987.18999999994</v>
      </c>
      <c r="E12" s="12">
        <v>340193.08</v>
      </c>
      <c r="F12" s="12">
        <v>30000</v>
      </c>
      <c r="G12" s="12">
        <v>0</v>
      </c>
      <c r="H12" s="12">
        <v>340193.08</v>
      </c>
    </row>
    <row r="13" spans="1:8" ht="18.75" customHeight="1" x14ac:dyDescent="0.3">
      <c r="B13" s="12">
        <v>5</v>
      </c>
      <c r="C13" s="12" t="s">
        <v>28</v>
      </c>
      <c r="D13" s="12">
        <v>1595728.33</v>
      </c>
      <c r="E13" s="12">
        <v>861693.3</v>
      </c>
      <c r="F13" s="12">
        <v>0</v>
      </c>
      <c r="G13" s="12">
        <v>0</v>
      </c>
      <c r="H13" s="12">
        <v>861693.3</v>
      </c>
    </row>
    <row r="14" spans="1:8" ht="18.75" customHeight="1" x14ac:dyDescent="0.3">
      <c r="B14" s="12">
        <v>6</v>
      </c>
      <c r="C14" s="12" t="s">
        <v>27</v>
      </c>
      <c r="D14" s="12">
        <v>122545.21</v>
      </c>
      <c r="E14" s="12">
        <v>66174.41</v>
      </c>
      <c r="F14" s="12">
        <v>0</v>
      </c>
      <c r="G14" s="12">
        <v>0</v>
      </c>
      <c r="H14" s="12">
        <v>66174.41</v>
      </c>
    </row>
    <row r="15" spans="1:8" ht="18.75" customHeight="1" x14ac:dyDescent="0.3">
      <c r="B15" s="12">
        <v>7</v>
      </c>
      <c r="C15" s="12" t="s">
        <v>26</v>
      </c>
      <c r="D15" s="12">
        <v>776472.72</v>
      </c>
      <c r="E15" s="12">
        <v>419295.27</v>
      </c>
      <c r="F15" s="12">
        <v>333558</v>
      </c>
      <c r="G15" s="12">
        <v>204860</v>
      </c>
      <c r="H15" s="12">
        <v>214435.27</v>
      </c>
    </row>
    <row r="16" spans="1:8" ht="18.75" customHeight="1" x14ac:dyDescent="0.3">
      <c r="B16" s="12">
        <v>8</v>
      </c>
      <c r="C16" s="12" t="s">
        <v>25</v>
      </c>
      <c r="D16" s="12">
        <v>993075.22</v>
      </c>
      <c r="E16" s="12">
        <v>536260.62</v>
      </c>
      <c r="F16" s="12">
        <v>0</v>
      </c>
      <c r="G16" s="12">
        <v>0</v>
      </c>
      <c r="H16" s="12">
        <v>536260.62</v>
      </c>
    </row>
    <row r="17" spans="2:8" ht="18.75" customHeight="1" x14ac:dyDescent="0.3">
      <c r="B17" s="12">
        <v>9</v>
      </c>
      <c r="C17" s="12" t="s">
        <v>24</v>
      </c>
      <c r="D17" s="12">
        <v>579041.32999999996</v>
      </c>
      <c r="E17" s="12">
        <v>312682.32</v>
      </c>
      <c r="F17" s="12">
        <v>0</v>
      </c>
      <c r="G17" s="12">
        <v>0</v>
      </c>
      <c r="H17" s="12">
        <v>312682.32</v>
      </c>
    </row>
    <row r="18" spans="2:8" ht="18.75" customHeight="1" x14ac:dyDescent="0.3">
      <c r="B18" s="12">
        <v>10</v>
      </c>
      <c r="C18" s="12" t="s">
        <v>23</v>
      </c>
      <c r="D18" s="12">
        <v>437023.68</v>
      </c>
      <c r="E18" s="12">
        <v>235992.79</v>
      </c>
      <c r="F18" s="12">
        <v>101588.98</v>
      </c>
      <c r="G18" s="12">
        <v>49949</v>
      </c>
      <c r="H18" s="12">
        <v>186043.79</v>
      </c>
    </row>
    <row r="19" spans="2:8" ht="18.75" customHeight="1" x14ac:dyDescent="0.3">
      <c r="B19" s="12">
        <v>11</v>
      </c>
      <c r="C19" s="12" t="s">
        <v>22</v>
      </c>
      <c r="D19" s="12">
        <v>1920702.12</v>
      </c>
      <c r="E19" s="12">
        <v>1037179.15</v>
      </c>
      <c r="F19" s="12">
        <v>0</v>
      </c>
      <c r="G19" s="12">
        <v>0</v>
      </c>
      <c r="H19" s="12">
        <v>1037179.15</v>
      </c>
    </row>
    <row r="20" spans="2:8" ht="18.75" customHeight="1" x14ac:dyDescent="0.3">
      <c r="B20" s="12">
        <v>12</v>
      </c>
      <c r="C20" s="12" t="s">
        <v>21</v>
      </c>
      <c r="D20" s="12">
        <v>651404.31999999995</v>
      </c>
      <c r="E20" s="12">
        <v>351758.33</v>
      </c>
      <c r="F20" s="12">
        <v>0</v>
      </c>
      <c r="G20" s="12">
        <v>0</v>
      </c>
      <c r="H20" s="12">
        <v>351758.33</v>
      </c>
    </row>
    <row r="21" spans="2:8" ht="18.75" customHeight="1" x14ac:dyDescent="0.3">
      <c r="B21" s="12">
        <v>13</v>
      </c>
      <c r="C21" s="12" t="s">
        <v>20</v>
      </c>
      <c r="D21" s="12">
        <v>360090.13</v>
      </c>
      <c r="E21" s="12">
        <v>194448.67</v>
      </c>
      <c r="F21" s="12">
        <v>186009</v>
      </c>
      <c r="G21" s="12">
        <v>81009</v>
      </c>
      <c r="H21" s="12">
        <v>113439.67</v>
      </c>
    </row>
    <row r="22" spans="2:8" ht="18.75" customHeight="1" x14ac:dyDescent="0.3">
      <c r="B22" s="12">
        <v>14</v>
      </c>
      <c r="C22" s="12" t="s">
        <v>19</v>
      </c>
      <c r="D22" s="12">
        <v>559598.54</v>
      </c>
      <c r="E22" s="12">
        <v>302183.21000000002</v>
      </c>
      <c r="F22" s="12">
        <v>152505.39000000001</v>
      </c>
      <c r="G22" s="12">
        <v>129855</v>
      </c>
      <c r="H22" s="12">
        <v>172328.21</v>
      </c>
    </row>
    <row r="23" spans="2:8" ht="18.75" customHeight="1" x14ac:dyDescent="0.3">
      <c r="B23" s="12">
        <v>15</v>
      </c>
      <c r="C23" s="12" t="s">
        <v>18</v>
      </c>
      <c r="D23" s="12">
        <v>500756.65</v>
      </c>
      <c r="E23" s="12">
        <v>270408.59000000003</v>
      </c>
      <c r="F23" s="12">
        <v>200.33</v>
      </c>
      <c r="G23" s="12">
        <v>0</v>
      </c>
      <c r="H23" s="12">
        <v>270408.59000000003</v>
      </c>
    </row>
    <row r="24" spans="2:8" ht="18.75" customHeight="1" x14ac:dyDescent="0.3">
      <c r="B24" s="12">
        <v>16</v>
      </c>
      <c r="C24" s="12" t="s">
        <v>17</v>
      </c>
      <c r="D24" s="12">
        <v>2355477.35</v>
      </c>
      <c r="E24" s="12">
        <v>1271957.77</v>
      </c>
      <c r="F24" s="12">
        <v>0</v>
      </c>
      <c r="G24" s="12">
        <v>0</v>
      </c>
      <c r="H24" s="12">
        <v>1271957.77</v>
      </c>
    </row>
    <row r="25" spans="2:8" ht="18.75" customHeight="1" x14ac:dyDescent="0.3">
      <c r="B25" s="12">
        <v>17</v>
      </c>
      <c r="C25" s="12" t="s">
        <v>16</v>
      </c>
      <c r="D25" s="12">
        <v>1093157.94</v>
      </c>
      <c r="E25" s="12">
        <v>590305.29</v>
      </c>
      <c r="F25" s="12">
        <v>297210.34999999998</v>
      </c>
      <c r="G25" s="12">
        <v>49241.35</v>
      </c>
      <c r="H25" s="12">
        <v>541063.93999999994</v>
      </c>
    </row>
    <row r="26" spans="2:8" ht="18.75" customHeight="1" x14ac:dyDescent="0.3">
      <c r="B26" s="12">
        <v>18</v>
      </c>
      <c r="C26" s="12" t="s">
        <v>15</v>
      </c>
      <c r="D26" s="12">
        <v>451728.95</v>
      </c>
      <c r="E26" s="12">
        <v>243933.63</v>
      </c>
      <c r="F26" s="12">
        <v>0</v>
      </c>
      <c r="G26" s="12">
        <v>0</v>
      </c>
      <c r="H26" s="12">
        <v>243933.63</v>
      </c>
    </row>
    <row r="27" spans="2:8" ht="18.75" customHeight="1" x14ac:dyDescent="0.3">
      <c r="B27" s="12">
        <v>19</v>
      </c>
      <c r="C27" s="12" t="s">
        <v>14</v>
      </c>
      <c r="D27" s="12">
        <v>829935.55</v>
      </c>
      <c r="E27" s="12">
        <v>448165.2</v>
      </c>
      <c r="F27" s="12">
        <v>52016.39</v>
      </c>
      <c r="G27" s="12">
        <v>52016.39</v>
      </c>
      <c r="H27" s="12">
        <v>396148.81</v>
      </c>
    </row>
    <row r="28" spans="2:8" ht="18.75" customHeight="1" x14ac:dyDescent="0.3">
      <c r="B28" s="12">
        <v>20</v>
      </c>
      <c r="C28" s="12" t="s">
        <v>13</v>
      </c>
      <c r="D28" s="12">
        <v>304237.74</v>
      </c>
      <c r="E28" s="12">
        <v>164288.38</v>
      </c>
      <c r="F28" s="12">
        <v>0</v>
      </c>
      <c r="G28" s="12">
        <v>0</v>
      </c>
      <c r="H28" s="12">
        <v>164288.38</v>
      </c>
    </row>
    <row r="29" spans="2:8" ht="18.75" customHeight="1" x14ac:dyDescent="0.3">
      <c r="B29" s="12">
        <v>21</v>
      </c>
      <c r="C29" s="12" t="s">
        <v>12</v>
      </c>
      <c r="D29" s="12">
        <v>1511015.04</v>
      </c>
      <c r="E29" s="12">
        <v>815948.12</v>
      </c>
      <c r="F29" s="12">
        <v>275975</v>
      </c>
      <c r="G29" s="12">
        <v>134625</v>
      </c>
      <c r="H29" s="12">
        <v>681323.12</v>
      </c>
    </row>
    <row r="30" spans="2:8" ht="18.75" customHeight="1" x14ac:dyDescent="0.3">
      <c r="B30" s="12">
        <v>22</v>
      </c>
      <c r="C30" s="12" t="s">
        <v>11</v>
      </c>
      <c r="D30" s="12">
        <v>1334844.82</v>
      </c>
      <c r="E30" s="12">
        <v>720816.2</v>
      </c>
      <c r="F30" s="12">
        <v>220700</v>
      </c>
      <c r="G30" s="12">
        <v>207700</v>
      </c>
      <c r="H30" s="12">
        <v>513116.2</v>
      </c>
    </row>
    <row r="31" spans="2:8" ht="18.75" customHeight="1" x14ac:dyDescent="0.3">
      <c r="B31" s="12">
        <v>23</v>
      </c>
      <c r="C31" s="12" t="s">
        <v>10</v>
      </c>
      <c r="D31" s="12">
        <v>89022.03</v>
      </c>
      <c r="E31" s="12">
        <v>48071.9</v>
      </c>
      <c r="F31" s="12">
        <v>8000</v>
      </c>
      <c r="G31" s="12">
        <v>0</v>
      </c>
      <c r="H31" s="12">
        <v>48071.9</v>
      </c>
    </row>
    <row r="32" spans="2:8" ht="18.75" customHeight="1" x14ac:dyDescent="0.3">
      <c r="B32" s="12">
        <v>24</v>
      </c>
      <c r="C32" s="12" t="s">
        <v>9</v>
      </c>
      <c r="D32" s="12">
        <v>1023576.03</v>
      </c>
      <c r="E32" s="12">
        <v>552731.06000000006</v>
      </c>
      <c r="F32" s="12">
        <v>0</v>
      </c>
      <c r="G32" s="12">
        <v>0</v>
      </c>
      <c r="H32" s="12">
        <v>552731.06000000006</v>
      </c>
    </row>
    <row r="33" spans="2:8" ht="18.75" customHeight="1" x14ac:dyDescent="0.3">
      <c r="B33" s="12">
        <v>25</v>
      </c>
      <c r="C33" s="12" t="s">
        <v>8</v>
      </c>
      <c r="D33" s="12">
        <v>319410.36</v>
      </c>
      <c r="E33" s="12">
        <v>172481.6</v>
      </c>
      <c r="F33" s="12">
        <v>0</v>
      </c>
      <c r="G33" s="12">
        <v>0</v>
      </c>
      <c r="H33" s="12">
        <v>172481.6</v>
      </c>
    </row>
    <row r="34" spans="2:8" ht="18.75" customHeight="1" x14ac:dyDescent="0.3">
      <c r="B34" s="12">
        <v>26</v>
      </c>
      <c r="C34" s="12" t="s">
        <v>7</v>
      </c>
      <c r="D34" s="12">
        <v>33486.949999999997</v>
      </c>
      <c r="E34" s="12">
        <v>18082.95</v>
      </c>
      <c r="F34" s="12">
        <v>0</v>
      </c>
      <c r="G34" s="12">
        <v>0</v>
      </c>
      <c r="H34" s="12">
        <v>18082.95</v>
      </c>
    </row>
    <row r="35" spans="2:8" ht="18.75" customHeight="1" x14ac:dyDescent="0.3">
      <c r="B35" s="12">
        <v>27</v>
      </c>
      <c r="C35" s="12" t="s">
        <v>6</v>
      </c>
      <c r="D35" s="12">
        <v>13485.99</v>
      </c>
      <c r="E35" s="12">
        <v>7282.44</v>
      </c>
      <c r="F35" s="12">
        <v>0</v>
      </c>
      <c r="G35" s="12">
        <v>0</v>
      </c>
      <c r="H35" s="12">
        <v>7282.44</v>
      </c>
    </row>
    <row r="36" spans="2:8" ht="18.75" customHeight="1" x14ac:dyDescent="0.3">
      <c r="B36" s="12">
        <v>28</v>
      </c>
      <c r="C36" s="12" t="s">
        <v>5</v>
      </c>
      <c r="D36" s="12">
        <v>571392.14</v>
      </c>
      <c r="E36" s="12">
        <v>308551.75</v>
      </c>
      <c r="F36" s="12">
        <v>2545.9</v>
      </c>
      <c r="G36" s="12">
        <v>0</v>
      </c>
      <c r="H36" s="12">
        <v>308551.75</v>
      </c>
    </row>
    <row r="37" spans="2:8" ht="18.75" customHeight="1" x14ac:dyDescent="0.3">
      <c r="B37" s="12">
        <v>29</v>
      </c>
      <c r="C37" s="12" t="s">
        <v>4</v>
      </c>
      <c r="D37" s="12">
        <v>2322519.88</v>
      </c>
      <c r="E37" s="12">
        <v>1254160.73</v>
      </c>
      <c r="F37" s="12">
        <v>0</v>
      </c>
      <c r="G37" s="12">
        <v>0</v>
      </c>
      <c r="H37" s="12">
        <v>1254160.73</v>
      </c>
    </row>
    <row r="38" spans="2:8" ht="18.75" customHeight="1" x14ac:dyDescent="0.3">
      <c r="B38" s="12">
        <v>30</v>
      </c>
      <c r="C38" s="12" t="s">
        <v>3</v>
      </c>
      <c r="D38" s="12">
        <v>454134.71</v>
      </c>
      <c r="E38" s="12">
        <v>245232.74</v>
      </c>
      <c r="F38" s="12">
        <v>4648</v>
      </c>
      <c r="G38" s="12">
        <v>0</v>
      </c>
      <c r="H38" s="12">
        <v>245232.74</v>
      </c>
    </row>
    <row r="39" spans="2:8" ht="18.75" customHeight="1" x14ac:dyDescent="0.3">
      <c r="B39" s="12">
        <v>31</v>
      </c>
      <c r="C39" s="12" t="s">
        <v>2</v>
      </c>
      <c r="D39" s="12">
        <v>2126872</v>
      </c>
      <c r="E39" s="12">
        <v>1148510.8799999999</v>
      </c>
      <c r="F39" s="12">
        <v>1357007.66</v>
      </c>
      <c r="G39" s="12">
        <v>0</v>
      </c>
      <c r="H39" s="12">
        <v>1148510.8799999999</v>
      </c>
    </row>
    <row r="40" spans="2:8" ht="18.75" customHeight="1" x14ac:dyDescent="0.3">
      <c r="B40" s="12">
        <v>32</v>
      </c>
      <c r="C40" s="12" t="s">
        <v>39</v>
      </c>
      <c r="D40" s="12">
        <v>28617358.260000002</v>
      </c>
      <c r="E40" s="12">
        <v>15453373.460000001</v>
      </c>
      <c r="F40" s="12">
        <v>4066907.23</v>
      </c>
      <c r="G40" s="12">
        <v>1796073.74</v>
      </c>
      <c r="H40" s="12">
        <v>13657299.720000001</v>
      </c>
    </row>
  </sheetData>
  <mergeCells count="1">
    <mergeCell ref="C3:F4"/>
  </mergeCells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9187-C0EA-4D29-867E-AFE2E0BC6C2B}">
  <dimension ref="B1:K38"/>
  <sheetViews>
    <sheetView rightToLeft="1" workbookViewId="0">
      <selection activeCell="B8" sqref="B8:C8"/>
    </sheetView>
  </sheetViews>
  <sheetFormatPr defaultRowHeight="15" customHeight="1" x14ac:dyDescent="0.3"/>
  <cols>
    <col min="1" max="1" width="2.109375" style="1" customWidth="1"/>
    <col min="2" max="2" width="7.109375" style="1" customWidth="1"/>
    <col min="3" max="3" width="26.44140625" style="1" customWidth="1"/>
    <col min="4" max="4" width="14.88671875" style="1" customWidth="1"/>
    <col min="5" max="5" width="17.109375" style="1" customWidth="1"/>
    <col min="6" max="6" width="14" style="1" customWidth="1"/>
    <col min="7" max="7" width="13.109375" style="1" customWidth="1"/>
    <col min="8" max="8" width="19.5546875" style="1" customWidth="1"/>
    <col min="9" max="9" width="20.33203125" style="1" customWidth="1"/>
    <col min="10" max="10" width="24" style="1" customWidth="1"/>
    <col min="11" max="11" width="22.21875" style="1" customWidth="1"/>
    <col min="12" max="16384" width="8.88671875" style="1"/>
  </cols>
  <sheetData>
    <row r="1" spans="2:11" ht="30" customHeight="1" x14ac:dyDescent="0.95">
      <c r="B1" s="10" t="s">
        <v>38</v>
      </c>
      <c r="C1" s="10"/>
      <c r="D1" s="10"/>
      <c r="E1" s="10"/>
      <c r="F1" s="10"/>
      <c r="G1" s="10"/>
      <c r="H1" s="10"/>
      <c r="I1" s="10"/>
      <c r="J1" s="10"/>
      <c r="K1" s="10"/>
    </row>
    <row r="2" spans="2:11" ht="42" customHeight="1" thickBot="1" x14ac:dyDescent="0.35">
      <c r="B2" s="9" t="s">
        <v>59</v>
      </c>
      <c r="C2" s="9"/>
      <c r="D2" s="9"/>
      <c r="E2" s="9"/>
      <c r="F2" s="9"/>
      <c r="G2" s="9"/>
      <c r="H2" s="9"/>
      <c r="I2" s="9"/>
      <c r="J2" s="9"/>
      <c r="K2" s="9"/>
    </row>
    <row r="3" spans="2:11" ht="24.75" customHeight="1" thickBot="1" x14ac:dyDescent="1">
      <c r="B3" s="30" t="s">
        <v>36</v>
      </c>
      <c r="C3" s="30" t="s">
        <v>35</v>
      </c>
      <c r="D3" s="30" t="s">
        <v>58</v>
      </c>
      <c r="E3" s="30" t="s">
        <v>57</v>
      </c>
      <c r="F3" s="30" t="s">
        <v>56</v>
      </c>
      <c r="G3" s="30" t="s">
        <v>55</v>
      </c>
      <c r="H3" s="29" t="s">
        <v>54</v>
      </c>
      <c r="I3" s="28"/>
      <c r="J3" s="27" t="s">
        <v>53</v>
      </c>
      <c r="K3" s="26"/>
    </row>
    <row r="4" spans="2:11" ht="34.5" customHeight="1" thickBot="1" x14ac:dyDescent="0.35">
      <c r="B4" s="25"/>
      <c r="C4" s="25"/>
      <c r="D4" s="25"/>
      <c r="E4" s="25"/>
      <c r="F4" s="25"/>
      <c r="G4" s="25"/>
      <c r="H4" s="8" t="s">
        <v>52</v>
      </c>
      <c r="I4" s="8" t="s">
        <v>51</v>
      </c>
      <c r="J4" s="24" t="s">
        <v>52</v>
      </c>
      <c r="K4" s="8" t="s">
        <v>51</v>
      </c>
    </row>
    <row r="5" spans="2:11" ht="26.25" customHeight="1" thickBot="1" x14ac:dyDescent="0.35">
      <c r="B5" s="23">
        <v>1</v>
      </c>
      <c r="C5" s="23" t="s">
        <v>32</v>
      </c>
      <c r="D5" s="23">
        <v>1948</v>
      </c>
      <c r="E5" s="23">
        <v>4720</v>
      </c>
      <c r="F5" s="23">
        <v>297556</v>
      </c>
      <c r="G5" s="23">
        <v>3283</v>
      </c>
      <c r="H5" s="23">
        <v>3854</v>
      </c>
      <c r="I5" s="23">
        <v>3497</v>
      </c>
      <c r="J5" s="23">
        <v>16</v>
      </c>
      <c r="K5" s="23">
        <v>15</v>
      </c>
    </row>
    <row r="6" spans="2:11" ht="26.25" customHeight="1" thickBot="1" x14ac:dyDescent="0.35">
      <c r="B6" s="23">
        <v>2</v>
      </c>
      <c r="C6" s="23" t="s">
        <v>31</v>
      </c>
      <c r="D6" s="23">
        <v>2003</v>
      </c>
      <c r="E6" s="23">
        <v>3869</v>
      </c>
      <c r="F6" s="23">
        <v>331736</v>
      </c>
      <c r="G6" s="23">
        <v>3097</v>
      </c>
      <c r="H6" s="23">
        <v>2678</v>
      </c>
      <c r="I6" s="23">
        <v>2585</v>
      </c>
      <c r="J6" s="23">
        <v>24</v>
      </c>
      <c r="K6" s="23">
        <v>18</v>
      </c>
    </row>
    <row r="7" spans="2:11" ht="26.25" customHeight="1" thickBot="1" x14ac:dyDescent="0.35">
      <c r="B7" s="23">
        <v>3</v>
      </c>
      <c r="C7" s="23" t="s">
        <v>30</v>
      </c>
      <c r="D7" s="23">
        <v>650</v>
      </c>
      <c r="E7" s="23">
        <v>1605</v>
      </c>
      <c r="F7" s="23">
        <v>101813</v>
      </c>
      <c r="G7" s="23">
        <v>1487</v>
      </c>
      <c r="H7" s="23">
        <v>2024</v>
      </c>
      <c r="I7" s="23">
        <v>1945</v>
      </c>
      <c r="J7" s="23">
        <v>5</v>
      </c>
      <c r="K7" s="23">
        <v>5</v>
      </c>
    </row>
    <row r="8" spans="2:11" ht="26.25" customHeight="1" thickBot="1" x14ac:dyDescent="0.35">
      <c r="B8" s="23">
        <v>4</v>
      </c>
      <c r="C8" s="23" t="s">
        <v>29</v>
      </c>
      <c r="D8" s="23">
        <v>842</v>
      </c>
      <c r="E8" s="23">
        <v>1386</v>
      </c>
      <c r="F8" s="23">
        <v>213964</v>
      </c>
      <c r="G8" s="23">
        <v>1611</v>
      </c>
      <c r="H8" s="23">
        <v>2584</v>
      </c>
      <c r="I8" s="23">
        <v>2299</v>
      </c>
      <c r="J8" s="23">
        <v>6</v>
      </c>
      <c r="K8" s="23">
        <v>6</v>
      </c>
    </row>
    <row r="9" spans="2:11" ht="26.25" customHeight="1" thickBot="1" x14ac:dyDescent="0.35">
      <c r="B9" s="23">
        <v>5</v>
      </c>
      <c r="C9" s="23" t="s">
        <v>28</v>
      </c>
      <c r="D9" s="23">
        <v>167</v>
      </c>
      <c r="E9" s="23">
        <v>961</v>
      </c>
      <c r="F9" s="23">
        <v>28515</v>
      </c>
      <c r="G9" s="23">
        <v>788</v>
      </c>
      <c r="H9" s="23">
        <v>713</v>
      </c>
      <c r="I9" s="23">
        <v>682</v>
      </c>
      <c r="J9" s="23">
        <v>78</v>
      </c>
      <c r="K9" s="23">
        <v>72</v>
      </c>
    </row>
    <row r="10" spans="2:11" ht="26.25" customHeight="1" thickBot="1" x14ac:dyDescent="0.35">
      <c r="B10" s="23">
        <v>6</v>
      </c>
      <c r="C10" s="23" t="s">
        <v>27</v>
      </c>
      <c r="D10" s="23">
        <v>316</v>
      </c>
      <c r="E10" s="23">
        <v>375</v>
      </c>
      <c r="F10" s="23">
        <v>46904</v>
      </c>
      <c r="G10" s="23">
        <v>316</v>
      </c>
      <c r="H10" s="23">
        <v>436</v>
      </c>
      <c r="I10" s="23">
        <v>422</v>
      </c>
      <c r="J10" s="23">
        <v>0</v>
      </c>
      <c r="K10" s="23">
        <v>0</v>
      </c>
    </row>
    <row r="11" spans="2:11" ht="26.25" customHeight="1" thickBot="1" x14ac:dyDescent="0.35">
      <c r="B11" s="23">
        <v>7</v>
      </c>
      <c r="C11" s="23" t="s">
        <v>26</v>
      </c>
      <c r="D11" s="23">
        <v>434</v>
      </c>
      <c r="E11" s="23">
        <v>2015</v>
      </c>
      <c r="F11" s="23">
        <v>53244</v>
      </c>
      <c r="G11" s="23">
        <v>1494</v>
      </c>
      <c r="H11" s="23">
        <v>1367</v>
      </c>
      <c r="I11" s="23">
        <v>1355</v>
      </c>
      <c r="J11" s="23">
        <v>312</v>
      </c>
      <c r="K11" s="23">
        <v>306</v>
      </c>
    </row>
    <row r="12" spans="2:11" ht="26.25" customHeight="1" thickBot="1" x14ac:dyDescent="0.35">
      <c r="B12" s="23">
        <v>8</v>
      </c>
      <c r="C12" s="23" t="s">
        <v>25</v>
      </c>
      <c r="D12" s="23">
        <v>398</v>
      </c>
      <c r="E12" s="23">
        <v>1541</v>
      </c>
      <c r="F12" s="23">
        <v>286237</v>
      </c>
      <c r="G12" s="23">
        <v>1494</v>
      </c>
      <c r="H12" s="23">
        <v>1774</v>
      </c>
      <c r="I12" s="23">
        <v>1723</v>
      </c>
      <c r="J12" s="23">
        <v>2</v>
      </c>
      <c r="K12" s="23">
        <v>2</v>
      </c>
    </row>
    <row r="13" spans="2:11" ht="26.25" customHeight="1" thickBot="1" x14ac:dyDescent="0.35">
      <c r="B13" s="23">
        <v>9</v>
      </c>
      <c r="C13" s="23" t="s">
        <v>24</v>
      </c>
      <c r="D13" s="23">
        <v>455</v>
      </c>
      <c r="E13" s="23">
        <v>776</v>
      </c>
      <c r="F13" s="23">
        <v>72325</v>
      </c>
      <c r="G13" s="23">
        <v>604</v>
      </c>
      <c r="H13" s="23">
        <v>836</v>
      </c>
      <c r="I13" s="23">
        <v>815</v>
      </c>
      <c r="J13" s="23">
        <v>2</v>
      </c>
      <c r="K13" s="23">
        <v>2</v>
      </c>
    </row>
    <row r="14" spans="2:11" ht="26.25" customHeight="1" thickBot="1" x14ac:dyDescent="0.35">
      <c r="B14" s="23">
        <v>10</v>
      </c>
      <c r="C14" s="23" t="s">
        <v>23</v>
      </c>
      <c r="D14" s="23">
        <v>831</v>
      </c>
      <c r="E14" s="23">
        <v>2331</v>
      </c>
      <c r="F14" s="23">
        <v>86457</v>
      </c>
      <c r="G14" s="23">
        <v>1086</v>
      </c>
      <c r="H14" s="23">
        <v>1746</v>
      </c>
      <c r="I14" s="23">
        <v>1696</v>
      </c>
      <c r="J14" s="23">
        <v>3</v>
      </c>
      <c r="K14" s="23">
        <v>2</v>
      </c>
    </row>
    <row r="15" spans="2:11" ht="26.25" customHeight="1" thickBot="1" x14ac:dyDescent="0.35">
      <c r="B15" s="23">
        <v>11</v>
      </c>
      <c r="C15" s="23" t="s">
        <v>22</v>
      </c>
      <c r="D15" s="23">
        <v>2097</v>
      </c>
      <c r="E15" s="23">
        <v>5818</v>
      </c>
      <c r="F15" s="23">
        <v>422807</v>
      </c>
      <c r="G15" s="23">
        <v>4509</v>
      </c>
      <c r="H15" s="23">
        <v>4845</v>
      </c>
      <c r="I15" s="23">
        <v>4585</v>
      </c>
      <c r="J15" s="23">
        <v>43</v>
      </c>
      <c r="K15" s="23">
        <v>38</v>
      </c>
    </row>
    <row r="16" spans="2:11" ht="26.25" customHeight="1" thickBot="1" x14ac:dyDescent="0.35">
      <c r="B16" s="23">
        <v>12</v>
      </c>
      <c r="C16" s="23" t="s">
        <v>21</v>
      </c>
      <c r="D16" s="23">
        <v>689</v>
      </c>
      <c r="E16" s="23">
        <v>4256</v>
      </c>
      <c r="F16" s="23">
        <v>201964</v>
      </c>
      <c r="G16" s="23">
        <v>2592</v>
      </c>
      <c r="H16" s="23">
        <v>2806</v>
      </c>
      <c r="I16" s="23">
        <v>2770</v>
      </c>
      <c r="J16" s="23">
        <v>3</v>
      </c>
      <c r="K16" s="23">
        <v>3</v>
      </c>
    </row>
    <row r="17" spans="2:11" ht="26.25" customHeight="1" thickBot="1" x14ac:dyDescent="0.35">
      <c r="B17" s="23">
        <v>13</v>
      </c>
      <c r="C17" s="23" t="s">
        <v>20</v>
      </c>
      <c r="D17" s="23">
        <v>1649</v>
      </c>
      <c r="E17" s="23">
        <v>2139</v>
      </c>
      <c r="F17" s="23">
        <v>184895</v>
      </c>
      <c r="G17" s="23">
        <v>1805</v>
      </c>
      <c r="H17" s="23">
        <v>2579</v>
      </c>
      <c r="I17" s="23">
        <v>2541</v>
      </c>
      <c r="J17" s="23">
        <v>48</v>
      </c>
      <c r="K17" s="23">
        <v>48</v>
      </c>
    </row>
    <row r="18" spans="2:11" ht="26.25" customHeight="1" thickBot="1" x14ac:dyDescent="0.35">
      <c r="B18" s="23">
        <v>14</v>
      </c>
      <c r="C18" s="23" t="s">
        <v>19</v>
      </c>
      <c r="D18" s="23">
        <v>555</v>
      </c>
      <c r="E18" s="23">
        <v>1138</v>
      </c>
      <c r="F18" s="23">
        <v>203490</v>
      </c>
      <c r="G18" s="23">
        <v>830</v>
      </c>
      <c r="H18" s="23">
        <v>1032</v>
      </c>
      <c r="I18" s="23">
        <v>1004</v>
      </c>
      <c r="J18" s="23">
        <v>4</v>
      </c>
      <c r="K18" s="23">
        <v>4</v>
      </c>
    </row>
    <row r="19" spans="2:11" ht="26.25" customHeight="1" thickBot="1" x14ac:dyDescent="0.35">
      <c r="B19" s="23">
        <v>15</v>
      </c>
      <c r="C19" s="23" t="s">
        <v>18</v>
      </c>
      <c r="D19" s="23">
        <v>198</v>
      </c>
      <c r="E19" s="23">
        <v>1560</v>
      </c>
      <c r="F19" s="23">
        <v>25336</v>
      </c>
      <c r="G19" s="23">
        <v>1123</v>
      </c>
      <c r="H19" s="23">
        <v>1178</v>
      </c>
      <c r="I19" s="23">
        <v>1130</v>
      </c>
      <c r="J19" s="23">
        <v>1</v>
      </c>
      <c r="K19" s="23">
        <v>1</v>
      </c>
    </row>
    <row r="20" spans="2:11" ht="26.25" customHeight="1" thickBot="1" x14ac:dyDescent="0.35">
      <c r="B20" s="23">
        <v>16</v>
      </c>
      <c r="C20" s="23" t="s">
        <v>17</v>
      </c>
      <c r="D20" s="23">
        <v>1295</v>
      </c>
      <c r="E20" s="23">
        <v>2034</v>
      </c>
      <c r="F20" s="23">
        <v>170377</v>
      </c>
      <c r="G20" s="23">
        <v>1823</v>
      </c>
      <c r="H20" s="23">
        <v>1633</v>
      </c>
      <c r="I20" s="23">
        <v>1575</v>
      </c>
      <c r="J20" s="23">
        <v>5</v>
      </c>
      <c r="K20" s="23">
        <v>5</v>
      </c>
    </row>
    <row r="21" spans="2:11" ht="26.25" customHeight="1" thickBot="1" x14ac:dyDescent="0.35">
      <c r="B21" s="23">
        <v>17</v>
      </c>
      <c r="C21" s="23" t="s">
        <v>16</v>
      </c>
      <c r="D21" s="23">
        <v>1619</v>
      </c>
      <c r="E21" s="23">
        <v>2562</v>
      </c>
      <c r="F21" s="23">
        <v>317134</v>
      </c>
      <c r="G21" s="23">
        <v>2116</v>
      </c>
      <c r="H21" s="23">
        <v>2715</v>
      </c>
      <c r="I21" s="23">
        <v>2643</v>
      </c>
      <c r="J21" s="23">
        <v>33</v>
      </c>
      <c r="K21" s="23">
        <v>33</v>
      </c>
    </row>
    <row r="22" spans="2:11" ht="26.25" customHeight="1" thickBot="1" x14ac:dyDescent="0.35">
      <c r="B22" s="23">
        <v>18</v>
      </c>
      <c r="C22" s="23" t="s">
        <v>15</v>
      </c>
      <c r="D22" s="23">
        <v>523</v>
      </c>
      <c r="E22" s="23">
        <v>718</v>
      </c>
      <c r="F22" s="23">
        <v>133138</v>
      </c>
      <c r="G22" s="23">
        <v>465</v>
      </c>
      <c r="H22" s="23">
        <v>1278</v>
      </c>
      <c r="I22" s="23">
        <v>1172</v>
      </c>
      <c r="J22" s="23">
        <v>6</v>
      </c>
      <c r="K22" s="23">
        <v>6</v>
      </c>
    </row>
    <row r="23" spans="2:11" ht="26.25" customHeight="1" thickBot="1" x14ac:dyDescent="0.35">
      <c r="B23" s="23">
        <v>19</v>
      </c>
      <c r="C23" s="23" t="s">
        <v>14</v>
      </c>
      <c r="D23" s="23">
        <v>106</v>
      </c>
      <c r="E23" s="23">
        <v>72</v>
      </c>
      <c r="F23" s="23">
        <v>33765</v>
      </c>
      <c r="G23" s="23">
        <v>102</v>
      </c>
      <c r="H23" s="23">
        <v>145</v>
      </c>
      <c r="I23" s="23">
        <v>126</v>
      </c>
      <c r="J23" s="23">
        <v>1</v>
      </c>
      <c r="K23" s="23">
        <v>1</v>
      </c>
    </row>
    <row r="24" spans="2:11" ht="26.25" customHeight="1" thickBot="1" x14ac:dyDescent="0.35">
      <c r="B24" s="23">
        <v>20</v>
      </c>
      <c r="C24" s="23" t="s">
        <v>13</v>
      </c>
      <c r="D24" s="23">
        <v>1254</v>
      </c>
      <c r="E24" s="23">
        <v>1993</v>
      </c>
      <c r="F24" s="23">
        <v>144446</v>
      </c>
      <c r="G24" s="23">
        <v>1599</v>
      </c>
      <c r="H24" s="23">
        <v>1511</v>
      </c>
      <c r="I24" s="23">
        <v>1427</v>
      </c>
      <c r="J24" s="23">
        <v>0</v>
      </c>
      <c r="K24" s="23">
        <v>0</v>
      </c>
    </row>
    <row r="25" spans="2:11" ht="26.25" customHeight="1" thickBot="1" x14ac:dyDescent="0.35">
      <c r="B25" s="23">
        <v>21</v>
      </c>
      <c r="C25" s="23" t="s">
        <v>12</v>
      </c>
      <c r="D25" s="23">
        <v>770</v>
      </c>
      <c r="E25" s="23">
        <v>3443</v>
      </c>
      <c r="F25" s="23">
        <v>235277</v>
      </c>
      <c r="G25" s="23">
        <v>1209</v>
      </c>
      <c r="H25" s="23">
        <v>973</v>
      </c>
      <c r="I25" s="23">
        <v>945</v>
      </c>
      <c r="J25" s="23">
        <v>4</v>
      </c>
      <c r="K25" s="23">
        <v>4</v>
      </c>
    </row>
    <row r="26" spans="2:11" ht="26.25" customHeight="1" thickBot="1" x14ac:dyDescent="0.35">
      <c r="B26" s="23">
        <v>22</v>
      </c>
      <c r="C26" s="23" t="s">
        <v>11</v>
      </c>
      <c r="D26" s="23">
        <v>1148</v>
      </c>
      <c r="E26" s="23">
        <v>1358</v>
      </c>
      <c r="F26" s="23">
        <v>82638</v>
      </c>
      <c r="G26" s="23">
        <v>1509</v>
      </c>
      <c r="H26" s="23">
        <v>1659</v>
      </c>
      <c r="I26" s="23">
        <v>1641</v>
      </c>
      <c r="J26" s="23">
        <v>1</v>
      </c>
      <c r="K26" s="23">
        <v>1</v>
      </c>
    </row>
    <row r="27" spans="2:11" ht="26.25" customHeight="1" thickBot="1" x14ac:dyDescent="0.35">
      <c r="B27" s="23">
        <v>23</v>
      </c>
      <c r="C27" s="23" t="s">
        <v>10</v>
      </c>
      <c r="D27" s="23">
        <v>494</v>
      </c>
      <c r="E27" s="23">
        <v>2474</v>
      </c>
      <c r="F27" s="23">
        <v>55057</v>
      </c>
      <c r="G27" s="23">
        <v>1406</v>
      </c>
      <c r="H27" s="23">
        <v>1316</v>
      </c>
      <c r="I27" s="23">
        <v>1307</v>
      </c>
      <c r="J27" s="23">
        <v>0</v>
      </c>
      <c r="K27" s="23">
        <v>0</v>
      </c>
    </row>
    <row r="28" spans="2:11" ht="26.25" customHeight="1" thickBot="1" x14ac:dyDescent="0.35">
      <c r="B28" s="23">
        <v>24</v>
      </c>
      <c r="C28" s="23" t="s">
        <v>9</v>
      </c>
      <c r="D28" s="23">
        <v>657</v>
      </c>
      <c r="E28" s="23">
        <v>1889</v>
      </c>
      <c r="F28" s="23">
        <v>169218</v>
      </c>
      <c r="G28" s="23">
        <v>1492</v>
      </c>
      <c r="H28" s="23">
        <v>1735</v>
      </c>
      <c r="I28" s="23">
        <v>1684</v>
      </c>
      <c r="J28" s="23">
        <v>6</v>
      </c>
      <c r="K28" s="23">
        <v>5</v>
      </c>
    </row>
    <row r="29" spans="2:11" ht="26.25" customHeight="1" thickBot="1" x14ac:dyDescent="0.35">
      <c r="B29" s="23">
        <v>25</v>
      </c>
      <c r="C29" s="23" t="s">
        <v>8</v>
      </c>
      <c r="D29" s="23">
        <v>1098</v>
      </c>
      <c r="E29" s="23">
        <v>8229</v>
      </c>
      <c r="F29" s="23">
        <v>189168</v>
      </c>
      <c r="G29" s="23">
        <v>7375</v>
      </c>
      <c r="H29" s="23">
        <v>7360</v>
      </c>
      <c r="I29" s="23">
        <v>6771</v>
      </c>
      <c r="J29" s="23">
        <v>38</v>
      </c>
      <c r="K29" s="23">
        <v>37</v>
      </c>
    </row>
    <row r="30" spans="2:11" ht="26.25" customHeight="1" thickBot="1" x14ac:dyDescent="0.35">
      <c r="B30" s="23">
        <v>26</v>
      </c>
      <c r="C30" s="23" t="s">
        <v>7</v>
      </c>
      <c r="D30" s="23">
        <v>1236</v>
      </c>
      <c r="E30" s="23">
        <v>757</v>
      </c>
      <c r="F30" s="23">
        <v>75418</v>
      </c>
      <c r="G30" s="23">
        <v>854</v>
      </c>
      <c r="H30" s="23">
        <v>1028</v>
      </c>
      <c r="I30" s="23">
        <v>997</v>
      </c>
      <c r="J30" s="23">
        <v>3</v>
      </c>
      <c r="K30" s="23">
        <v>3</v>
      </c>
    </row>
    <row r="31" spans="2:11" ht="26.25" customHeight="1" thickBot="1" x14ac:dyDescent="0.35">
      <c r="B31" s="23">
        <v>27</v>
      </c>
      <c r="C31" s="23" t="s">
        <v>6</v>
      </c>
      <c r="D31" s="23">
        <v>1339</v>
      </c>
      <c r="E31" s="23">
        <v>3546</v>
      </c>
      <c r="F31" s="23">
        <v>303188</v>
      </c>
      <c r="G31" s="23">
        <v>2576</v>
      </c>
      <c r="H31" s="23">
        <v>3067</v>
      </c>
      <c r="I31" s="23">
        <v>2867</v>
      </c>
      <c r="J31" s="23">
        <v>17</v>
      </c>
      <c r="K31" s="23">
        <v>15</v>
      </c>
    </row>
    <row r="32" spans="2:11" ht="26.25" customHeight="1" thickBot="1" x14ac:dyDescent="0.35">
      <c r="B32" s="23">
        <v>28</v>
      </c>
      <c r="C32" s="23" t="s">
        <v>5</v>
      </c>
      <c r="D32" s="23">
        <v>756</v>
      </c>
      <c r="E32" s="23">
        <v>575</v>
      </c>
      <c r="F32" s="23">
        <v>90693</v>
      </c>
      <c r="G32" s="23">
        <v>555</v>
      </c>
      <c r="H32" s="23">
        <v>963</v>
      </c>
      <c r="I32" s="23">
        <v>864</v>
      </c>
      <c r="J32" s="23">
        <v>3</v>
      </c>
      <c r="K32" s="23">
        <v>3</v>
      </c>
    </row>
    <row r="33" spans="2:11" ht="26.25" customHeight="1" thickBot="1" x14ac:dyDescent="0.35">
      <c r="B33" s="23">
        <v>29</v>
      </c>
      <c r="C33" s="23" t="s">
        <v>4</v>
      </c>
      <c r="D33" s="23">
        <v>798</v>
      </c>
      <c r="E33" s="23">
        <v>3376</v>
      </c>
      <c r="F33" s="23">
        <v>402617</v>
      </c>
      <c r="G33" s="23">
        <v>2479</v>
      </c>
      <c r="H33" s="23">
        <v>2232</v>
      </c>
      <c r="I33" s="23">
        <v>2220</v>
      </c>
      <c r="J33" s="23">
        <v>0</v>
      </c>
      <c r="K33" s="23">
        <v>0</v>
      </c>
    </row>
    <row r="34" spans="2:11" ht="26.25" customHeight="1" thickBot="1" x14ac:dyDescent="0.35">
      <c r="B34" s="23">
        <v>30</v>
      </c>
      <c r="C34" s="23" t="s">
        <v>3</v>
      </c>
      <c r="D34" s="23">
        <v>861</v>
      </c>
      <c r="E34" s="23">
        <v>644</v>
      </c>
      <c r="F34" s="23">
        <v>164683</v>
      </c>
      <c r="G34" s="23">
        <v>994</v>
      </c>
      <c r="H34" s="23">
        <v>1123</v>
      </c>
      <c r="I34" s="23">
        <v>1062</v>
      </c>
      <c r="J34" s="23">
        <v>0</v>
      </c>
      <c r="K34" s="23">
        <v>0</v>
      </c>
    </row>
    <row r="35" spans="2:11" ht="26.25" customHeight="1" x14ac:dyDescent="0.3">
      <c r="B35" s="23">
        <v>31</v>
      </c>
      <c r="C35" s="23" t="s">
        <v>2</v>
      </c>
      <c r="D35" s="23">
        <v>317</v>
      </c>
      <c r="E35" s="23">
        <v>1664</v>
      </c>
      <c r="F35" s="23">
        <v>70055</v>
      </c>
      <c r="G35" s="23">
        <v>1692</v>
      </c>
      <c r="H35" s="23">
        <v>2404</v>
      </c>
      <c r="I35" s="23">
        <v>2370</v>
      </c>
      <c r="J35" s="23">
        <v>4</v>
      </c>
      <c r="K35" s="23">
        <v>3</v>
      </c>
    </row>
    <row r="36" spans="2:11" ht="25.5" customHeight="1" x14ac:dyDescent="0.75">
      <c r="B36" s="22" t="s">
        <v>1</v>
      </c>
      <c r="C36" s="21"/>
      <c r="D36" s="20">
        <f ca="1">SUM(INDIRECT(ADDRESS(5,COLUMN())): INDIRECT(ADDRESS(ROW()-1,COLUMN())))</f>
        <v>27503</v>
      </c>
      <c r="E36" s="20">
        <f ca="1">SUM(INDIRECT(ADDRESS(5,COLUMN())): INDIRECT(ADDRESS(ROW()-1,COLUMN())))</f>
        <v>69824</v>
      </c>
      <c r="F36" s="20">
        <f ca="1">SUM(INDIRECT(ADDRESS(5,COLUMN())): INDIRECT(ADDRESS(ROW()-1,COLUMN())))</f>
        <v>5194115</v>
      </c>
      <c r="G36" s="20">
        <f ca="1">SUM(INDIRECT(ADDRESS(5,COLUMN())): INDIRECT(ADDRESS(ROW()-1,COLUMN())))</f>
        <v>54365</v>
      </c>
      <c r="H36" s="20">
        <f ca="1">SUM(INDIRECT(ADDRESS(5,COLUMN())): INDIRECT(ADDRESS(ROW()-1,COLUMN())))</f>
        <v>61594</v>
      </c>
      <c r="I36" s="20">
        <f ca="1">SUM(INDIRECT(ADDRESS(5,COLUMN())): INDIRECT(ADDRESS(ROW()-1,COLUMN())))</f>
        <v>58720</v>
      </c>
      <c r="J36" s="20">
        <f ca="1">SUM(INDIRECT(ADDRESS(5,COLUMN())): INDIRECT(ADDRESS(ROW()-1,COLUMN())))</f>
        <v>668</v>
      </c>
      <c r="K36" s="20">
        <f ca="1">SUM(INDIRECT(ADDRESS(5,COLUMN())): INDIRECT(ADDRESS(ROW()-1,COLUMN())))</f>
        <v>638</v>
      </c>
    </row>
    <row r="37" spans="2:11" ht="25.5" customHeight="1" x14ac:dyDescent="0.75">
      <c r="B37" s="19" t="s">
        <v>50</v>
      </c>
      <c r="C37" s="19"/>
      <c r="D37" s="19"/>
      <c r="E37" s="19"/>
      <c r="F37" s="19"/>
      <c r="G37" s="19"/>
      <c r="H37" s="19"/>
      <c r="I37" s="19"/>
      <c r="J37" s="3"/>
      <c r="K37" s="3"/>
    </row>
    <row r="38" spans="2:11" ht="15" customHeight="1" x14ac:dyDescent="0.3">
      <c r="B38" s="18" t="s">
        <v>0</v>
      </c>
      <c r="C38" s="18"/>
    </row>
  </sheetData>
  <mergeCells count="13">
    <mergeCell ref="G3:G4"/>
    <mergeCell ref="H3:I3"/>
    <mergeCell ref="J3:K3"/>
    <mergeCell ref="B36:C36"/>
    <mergeCell ref="B37:I37"/>
    <mergeCell ref="B38:C38"/>
    <mergeCell ref="B1:K1"/>
    <mergeCell ref="B2:K2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64AD-E4FF-4783-BD71-7C220B086398}">
  <dimension ref="B1:I38"/>
  <sheetViews>
    <sheetView rightToLeft="1" workbookViewId="0">
      <selection activeCell="B2" sqref="B2:I2"/>
    </sheetView>
  </sheetViews>
  <sheetFormatPr defaultRowHeight="15" customHeight="1" x14ac:dyDescent="0.3"/>
  <cols>
    <col min="1" max="1" width="2.109375" style="1" customWidth="1"/>
    <col min="2" max="2" width="7.109375" style="1" customWidth="1"/>
    <col min="3" max="3" width="26.44140625" style="1" customWidth="1"/>
    <col min="4" max="4" width="14.88671875" style="1" customWidth="1"/>
    <col min="5" max="5" width="17.109375" style="1" customWidth="1"/>
    <col min="6" max="6" width="18.21875" style="1" customWidth="1"/>
    <col min="7" max="7" width="17.6640625" style="1" customWidth="1"/>
    <col min="8" max="8" width="25.5546875" style="1" customWidth="1"/>
    <col min="9" max="9" width="27.88671875" style="1" customWidth="1"/>
    <col min="10" max="16384" width="8.88671875" style="1"/>
  </cols>
  <sheetData>
    <row r="1" spans="2:9" ht="30" customHeight="1" x14ac:dyDescent="0.95">
      <c r="B1" s="10" t="s">
        <v>38</v>
      </c>
      <c r="C1" s="10"/>
      <c r="D1" s="10"/>
      <c r="E1" s="10"/>
      <c r="F1" s="10"/>
      <c r="G1" s="10"/>
      <c r="H1" s="10"/>
      <c r="I1" s="10"/>
    </row>
    <row r="2" spans="2:9" ht="42" customHeight="1" thickBot="1" x14ac:dyDescent="0.35">
      <c r="B2" s="9" t="s">
        <v>62</v>
      </c>
      <c r="C2" s="9"/>
      <c r="D2" s="9"/>
      <c r="E2" s="9"/>
      <c r="F2" s="9"/>
      <c r="G2" s="9"/>
      <c r="H2" s="9"/>
      <c r="I2" s="9"/>
    </row>
    <row r="3" spans="2:9" ht="24.75" customHeight="1" thickBot="1" x14ac:dyDescent="1">
      <c r="B3" s="30" t="s">
        <v>36</v>
      </c>
      <c r="C3" s="30" t="s">
        <v>35</v>
      </c>
      <c r="D3" s="30" t="s">
        <v>61</v>
      </c>
      <c r="E3" s="30" t="s">
        <v>57</v>
      </c>
      <c r="F3" s="30" t="s">
        <v>56</v>
      </c>
      <c r="G3" s="30" t="s">
        <v>55</v>
      </c>
      <c r="H3" s="29" t="s">
        <v>60</v>
      </c>
      <c r="I3" s="28"/>
    </row>
    <row r="4" spans="2:9" ht="34.5" customHeight="1" thickBot="1" x14ac:dyDescent="0.35">
      <c r="B4" s="25"/>
      <c r="C4" s="25"/>
      <c r="D4" s="25"/>
      <c r="E4" s="25"/>
      <c r="F4" s="25"/>
      <c r="G4" s="25"/>
      <c r="H4" s="8" t="s">
        <v>52</v>
      </c>
      <c r="I4" s="8" t="s">
        <v>51</v>
      </c>
    </row>
    <row r="5" spans="2:9" ht="26.25" customHeight="1" thickBot="1" x14ac:dyDescent="0.35">
      <c r="B5" s="23">
        <v>1</v>
      </c>
      <c r="C5" s="23" t="s">
        <v>32</v>
      </c>
      <c r="D5" s="23">
        <v>59</v>
      </c>
      <c r="E5" s="23">
        <v>1278</v>
      </c>
      <c r="F5" s="23">
        <v>55993</v>
      </c>
      <c r="G5" s="23">
        <v>851</v>
      </c>
      <c r="H5" s="23">
        <v>1348</v>
      </c>
      <c r="I5" s="23">
        <v>1139</v>
      </c>
    </row>
    <row r="6" spans="2:9" ht="26.25" customHeight="1" thickBot="1" x14ac:dyDescent="0.35">
      <c r="B6" s="23">
        <v>2</v>
      </c>
      <c r="C6" s="23" t="s">
        <v>31</v>
      </c>
      <c r="D6" s="23">
        <v>32</v>
      </c>
      <c r="E6" s="23">
        <v>665</v>
      </c>
      <c r="F6" s="23">
        <v>44436</v>
      </c>
      <c r="G6" s="23">
        <v>826</v>
      </c>
      <c r="H6" s="23">
        <v>864</v>
      </c>
      <c r="I6" s="23">
        <v>802</v>
      </c>
    </row>
    <row r="7" spans="2:9" ht="26.25" customHeight="1" thickBot="1" x14ac:dyDescent="0.35">
      <c r="B7" s="23">
        <v>3</v>
      </c>
      <c r="C7" s="23" t="s">
        <v>30</v>
      </c>
      <c r="D7" s="23">
        <v>30</v>
      </c>
      <c r="E7" s="23">
        <v>88</v>
      </c>
      <c r="F7" s="23">
        <v>27715</v>
      </c>
      <c r="G7" s="23">
        <v>145</v>
      </c>
      <c r="H7" s="23">
        <v>285</v>
      </c>
      <c r="I7" s="23">
        <v>248</v>
      </c>
    </row>
    <row r="8" spans="2:9" ht="26.25" customHeight="1" thickBot="1" x14ac:dyDescent="0.35">
      <c r="B8" s="23">
        <v>4</v>
      </c>
      <c r="C8" s="23" t="s">
        <v>29</v>
      </c>
      <c r="D8" s="23">
        <v>107</v>
      </c>
      <c r="E8" s="23">
        <v>511</v>
      </c>
      <c r="F8" s="23">
        <v>89375</v>
      </c>
      <c r="G8" s="23">
        <v>1077</v>
      </c>
      <c r="H8" s="23">
        <v>3194</v>
      </c>
      <c r="I8" s="23">
        <v>2685</v>
      </c>
    </row>
    <row r="9" spans="2:9" ht="26.25" customHeight="1" thickBot="1" x14ac:dyDescent="0.35">
      <c r="B9" s="23">
        <v>5</v>
      </c>
      <c r="C9" s="23" t="s">
        <v>28</v>
      </c>
      <c r="D9" s="23">
        <v>12</v>
      </c>
      <c r="E9" s="23">
        <v>27</v>
      </c>
      <c r="F9" s="23">
        <v>11885</v>
      </c>
      <c r="G9" s="23">
        <v>36</v>
      </c>
      <c r="H9" s="23">
        <v>61</v>
      </c>
      <c r="I9" s="23">
        <v>58</v>
      </c>
    </row>
    <row r="10" spans="2:9" ht="26.25" customHeight="1" thickBot="1" x14ac:dyDescent="0.35">
      <c r="B10" s="23">
        <v>6</v>
      </c>
      <c r="C10" s="23" t="s">
        <v>27</v>
      </c>
      <c r="D10" s="23">
        <v>19</v>
      </c>
      <c r="E10" s="23">
        <v>126</v>
      </c>
      <c r="F10" s="23">
        <v>9553</v>
      </c>
      <c r="G10" s="23">
        <v>136</v>
      </c>
      <c r="H10" s="23">
        <v>113</v>
      </c>
      <c r="I10" s="23">
        <v>107</v>
      </c>
    </row>
    <row r="11" spans="2:9" ht="26.25" customHeight="1" thickBot="1" x14ac:dyDescent="0.35">
      <c r="B11" s="23">
        <v>7</v>
      </c>
      <c r="C11" s="23" t="s">
        <v>26</v>
      </c>
      <c r="D11" s="23">
        <v>34</v>
      </c>
      <c r="E11" s="23">
        <v>292</v>
      </c>
      <c r="F11" s="23">
        <v>17636</v>
      </c>
      <c r="G11" s="23">
        <v>498</v>
      </c>
      <c r="H11" s="23">
        <v>720</v>
      </c>
      <c r="I11" s="23">
        <v>693</v>
      </c>
    </row>
    <row r="12" spans="2:9" ht="26.25" customHeight="1" thickBot="1" x14ac:dyDescent="0.35">
      <c r="B12" s="23">
        <v>8</v>
      </c>
      <c r="C12" s="23" t="s">
        <v>25</v>
      </c>
      <c r="D12" s="23">
        <v>17</v>
      </c>
      <c r="E12" s="23">
        <v>35</v>
      </c>
      <c r="F12" s="23">
        <v>92831</v>
      </c>
      <c r="G12" s="23">
        <v>43</v>
      </c>
      <c r="H12" s="23">
        <v>146</v>
      </c>
      <c r="I12" s="23">
        <v>142</v>
      </c>
    </row>
    <row r="13" spans="2:9" ht="26.25" customHeight="1" thickBot="1" x14ac:dyDescent="0.35">
      <c r="B13" s="23">
        <v>9</v>
      </c>
      <c r="C13" s="23" t="s">
        <v>24</v>
      </c>
      <c r="D13" s="23">
        <v>39</v>
      </c>
      <c r="E13" s="23">
        <v>380</v>
      </c>
      <c r="F13" s="23">
        <v>18692</v>
      </c>
      <c r="G13" s="23">
        <v>353</v>
      </c>
      <c r="H13" s="23">
        <v>477</v>
      </c>
      <c r="I13" s="23">
        <v>402</v>
      </c>
    </row>
    <row r="14" spans="2:9" ht="26.25" customHeight="1" thickBot="1" x14ac:dyDescent="0.35">
      <c r="B14" s="23">
        <v>10</v>
      </c>
      <c r="C14" s="23" t="s">
        <v>23</v>
      </c>
      <c r="D14" s="23">
        <v>28</v>
      </c>
      <c r="E14" s="23">
        <v>26</v>
      </c>
      <c r="F14" s="23">
        <v>40870</v>
      </c>
      <c r="G14" s="23">
        <v>143</v>
      </c>
      <c r="H14" s="23">
        <v>269</v>
      </c>
      <c r="I14" s="23">
        <v>242</v>
      </c>
    </row>
    <row r="15" spans="2:9" ht="26.25" customHeight="1" thickBot="1" x14ac:dyDescent="0.35">
      <c r="B15" s="23">
        <v>11</v>
      </c>
      <c r="C15" s="23" t="s">
        <v>22</v>
      </c>
      <c r="D15" s="23">
        <v>80</v>
      </c>
      <c r="E15" s="23">
        <v>929</v>
      </c>
      <c r="F15" s="23">
        <v>66146</v>
      </c>
      <c r="G15" s="23">
        <v>1149</v>
      </c>
      <c r="H15" s="23">
        <v>1344</v>
      </c>
      <c r="I15" s="23">
        <v>1217</v>
      </c>
    </row>
    <row r="16" spans="2:9" ht="26.25" customHeight="1" thickBot="1" x14ac:dyDescent="0.35">
      <c r="B16" s="23">
        <v>12</v>
      </c>
      <c r="C16" s="23" t="s">
        <v>21</v>
      </c>
      <c r="D16" s="23">
        <v>22</v>
      </c>
      <c r="E16" s="23">
        <v>12</v>
      </c>
      <c r="F16" s="23">
        <v>41616</v>
      </c>
      <c r="G16" s="23">
        <v>64</v>
      </c>
      <c r="H16" s="23">
        <v>163</v>
      </c>
      <c r="I16" s="23">
        <v>149</v>
      </c>
    </row>
    <row r="17" spans="2:9" ht="26.25" customHeight="1" thickBot="1" x14ac:dyDescent="0.35">
      <c r="B17" s="23">
        <v>13</v>
      </c>
      <c r="C17" s="23" t="s">
        <v>20</v>
      </c>
      <c r="D17" s="23">
        <v>60</v>
      </c>
      <c r="E17" s="23">
        <v>591</v>
      </c>
      <c r="F17" s="23">
        <v>68630</v>
      </c>
      <c r="G17" s="23">
        <v>696</v>
      </c>
      <c r="H17" s="23">
        <v>765</v>
      </c>
      <c r="I17" s="23">
        <v>759</v>
      </c>
    </row>
    <row r="18" spans="2:9" ht="26.25" customHeight="1" thickBot="1" x14ac:dyDescent="0.35">
      <c r="B18" s="23">
        <v>14</v>
      </c>
      <c r="C18" s="23" t="s">
        <v>19</v>
      </c>
      <c r="D18" s="23">
        <v>16</v>
      </c>
      <c r="E18" s="23">
        <v>230</v>
      </c>
      <c r="F18" s="23">
        <v>20849</v>
      </c>
      <c r="G18" s="23">
        <v>247</v>
      </c>
      <c r="H18" s="23">
        <v>288</v>
      </c>
      <c r="I18" s="23">
        <v>251</v>
      </c>
    </row>
    <row r="19" spans="2:9" ht="26.25" customHeight="1" thickBot="1" x14ac:dyDescent="0.35">
      <c r="B19" s="23">
        <v>15</v>
      </c>
      <c r="C19" s="23" t="s">
        <v>18</v>
      </c>
      <c r="D19" s="23">
        <v>17</v>
      </c>
      <c r="E19" s="23">
        <v>101</v>
      </c>
      <c r="F19" s="23">
        <v>5405</v>
      </c>
      <c r="G19" s="23">
        <v>102</v>
      </c>
      <c r="H19" s="23">
        <v>119</v>
      </c>
      <c r="I19" s="23">
        <v>118</v>
      </c>
    </row>
    <row r="20" spans="2:9" ht="26.25" customHeight="1" thickBot="1" x14ac:dyDescent="0.35">
      <c r="B20" s="23">
        <v>16</v>
      </c>
      <c r="C20" s="23" t="s">
        <v>17</v>
      </c>
      <c r="D20" s="23">
        <v>35</v>
      </c>
      <c r="E20" s="23">
        <v>56</v>
      </c>
      <c r="F20" s="23">
        <v>19389</v>
      </c>
      <c r="G20" s="23">
        <v>62</v>
      </c>
      <c r="H20" s="23">
        <v>183</v>
      </c>
      <c r="I20" s="23">
        <v>166</v>
      </c>
    </row>
    <row r="21" spans="2:9" ht="26.25" customHeight="1" thickBot="1" x14ac:dyDescent="0.35">
      <c r="B21" s="23">
        <v>17</v>
      </c>
      <c r="C21" s="23" t="s">
        <v>16</v>
      </c>
      <c r="D21" s="23">
        <v>103</v>
      </c>
      <c r="E21" s="23">
        <v>1131</v>
      </c>
      <c r="F21" s="23">
        <v>115744</v>
      </c>
      <c r="G21" s="23">
        <v>1136</v>
      </c>
      <c r="H21" s="23">
        <v>1663</v>
      </c>
      <c r="I21" s="23">
        <v>1602</v>
      </c>
    </row>
    <row r="22" spans="2:9" ht="26.25" customHeight="1" thickBot="1" x14ac:dyDescent="0.35">
      <c r="B22" s="23">
        <v>18</v>
      </c>
      <c r="C22" s="23" t="s">
        <v>15</v>
      </c>
      <c r="D22" s="23">
        <v>20</v>
      </c>
      <c r="E22" s="23">
        <v>9</v>
      </c>
      <c r="F22" s="23">
        <v>24610</v>
      </c>
      <c r="G22" s="23">
        <v>33</v>
      </c>
      <c r="H22" s="23">
        <v>440</v>
      </c>
      <c r="I22" s="23">
        <v>425</v>
      </c>
    </row>
    <row r="23" spans="2:9" ht="26.25" customHeight="1" thickBot="1" x14ac:dyDescent="0.35">
      <c r="B23" s="23">
        <v>19</v>
      </c>
      <c r="C23" s="23" t="s">
        <v>14</v>
      </c>
      <c r="D23" s="23">
        <v>5</v>
      </c>
      <c r="E23" s="23">
        <v>28</v>
      </c>
      <c r="F23" s="23">
        <v>12942</v>
      </c>
      <c r="G23" s="23">
        <v>13</v>
      </c>
      <c r="H23" s="23">
        <v>81</v>
      </c>
      <c r="I23" s="23">
        <v>65</v>
      </c>
    </row>
    <row r="24" spans="2:9" ht="26.25" customHeight="1" thickBot="1" x14ac:dyDescent="0.35">
      <c r="B24" s="23">
        <v>20</v>
      </c>
      <c r="C24" s="23" t="s">
        <v>13</v>
      </c>
      <c r="D24" s="23">
        <v>29</v>
      </c>
      <c r="E24" s="23">
        <v>75</v>
      </c>
      <c r="F24" s="23">
        <v>15294</v>
      </c>
      <c r="G24" s="23">
        <v>14</v>
      </c>
      <c r="H24" s="23">
        <v>28</v>
      </c>
      <c r="I24" s="23">
        <v>28</v>
      </c>
    </row>
    <row r="25" spans="2:9" ht="26.25" customHeight="1" thickBot="1" x14ac:dyDescent="0.35">
      <c r="B25" s="23">
        <v>21</v>
      </c>
      <c r="C25" s="23" t="s">
        <v>12</v>
      </c>
      <c r="D25" s="23">
        <v>52</v>
      </c>
      <c r="E25" s="23">
        <v>47</v>
      </c>
      <c r="F25" s="23">
        <v>37968</v>
      </c>
      <c r="G25" s="23">
        <v>57</v>
      </c>
      <c r="H25" s="23">
        <v>244</v>
      </c>
      <c r="I25" s="23">
        <v>238</v>
      </c>
    </row>
    <row r="26" spans="2:9" ht="26.25" customHeight="1" thickBot="1" x14ac:dyDescent="0.35">
      <c r="B26" s="23">
        <v>22</v>
      </c>
      <c r="C26" s="23" t="s">
        <v>11</v>
      </c>
      <c r="D26" s="23">
        <v>23</v>
      </c>
      <c r="E26" s="23">
        <v>26</v>
      </c>
      <c r="F26" s="23">
        <v>4423</v>
      </c>
      <c r="G26" s="23">
        <v>33</v>
      </c>
      <c r="H26" s="23">
        <v>44</v>
      </c>
      <c r="I26" s="23">
        <v>44</v>
      </c>
    </row>
    <row r="27" spans="2:9" ht="26.25" customHeight="1" thickBot="1" x14ac:dyDescent="0.35">
      <c r="B27" s="23">
        <v>23</v>
      </c>
      <c r="C27" s="23" t="s">
        <v>10</v>
      </c>
      <c r="D27" s="23">
        <v>13</v>
      </c>
      <c r="E27" s="23">
        <v>68</v>
      </c>
      <c r="F27" s="23">
        <v>5493</v>
      </c>
      <c r="G27" s="23">
        <v>89</v>
      </c>
      <c r="H27" s="23">
        <v>145</v>
      </c>
      <c r="I27" s="23">
        <v>145</v>
      </c>
    </row>
    <row r="28" spans="2:9" ht="26.25" customHeight="1" thickBot="1" x14ac:dyDescent="0.35">
      <c r="B28" s="23">
        <v>24</v>
      </c>
      <c r="C28" s="23" t="s">
        <v>9</v>
      </c>
      <c r="D28" s="23">
        <v>25</v>
      </c>
      <c r="E28" s="23">
        <v>362</v>
      </c>
      <c r="F28" s="23">
        <v>28402</v>
      </c>
      <c r="G28" s="23">
        <v>360</v>
      </c>
      <c r="H28" s="23">
        <v>505</v>
      </c>
      <c r="I28" s="23">
        <v>487</v>
      </c>
    </row>
    <row r="29" spans="2:9" ht="26.25" customHeight="1" thickBot="1" x14ac:dyDescent="0.35">
      <c r="B29" s="23">
        <v>25</v>
      </c>
      <c r="C29" s="23" t="s">
        <v>8</v>
      </c>
      <c r="D29" s="23">
        <v>29</v>
      </c>
      <c r="E29" s="23">
        <v>618</v>
      </c>
      <c r="F29" s="23">
        <v>26206</v>
      </c>
      <c r="G29" s="23">
        <v>841</v>
      </c>
      <c r="H29" s="23">
        <v>1109</v>
      </c>
      <c r="I29" s="23">
        <v>983</v>
      </c>
    </row>
    <row r="30" spans="2:9" ht="26.25" customHeight="1" thickBot="1" x14ac:dyDescent="0.35">
      <c r="B30" s="23">
        <v>26</v>
      </c>
      <c r="C30" s="23" t="s">
        <v>7</v>
      </c>
      <c r="D30" s="23">
        <v>24</v>
      </c>
      <c r="E30" s="23">
        <v>101</v>
      </c>
      <c r="F30" s="23">
        <v>18822</v>
      </c>
      <c r="G30" s="23">
        <v>101</v>
      </c>
      <c r="H30" s="23">
        <v>104</v>
      </c>
      <c r="I30" s="23">
        <v>98</v>
      </c>
    </row>
    <row r="31" spans="2:9" ht="26.25" customHeight="1" thickBot="1" x14ac:dyDescent="0.35">
      <c r="B31" s="23">
        <v>27</v>
      </c>
      <c r="C31" s="23" t="s">
        <v>6</v>
      </c>
      <c r="D31" s="23">
        <v>36</v>
      </c>
      <c r="E31" s="23">
        <v>115</v>
      </c>
      <c r="F31" s="23">
        <v>29151</v>
      </c>
      <c r="G31" s="23">
        <v>162</v>
      </c>
      <c r="H31" s="23">
        <v>483</v>
      </c>
      <c r="I31" s="23">
        <v>422</v>
      </c>
    </row>
    <row r="32" spans="2:9" ht="26.25" customHeight="1" thickBot="1" x14ac:dyDescent="0.35">
      <c r="B32" s="23">
        <v>28</v>
      </c>
      <c r="C32" s="23" t="s">
        <v>5</v>
      </c>
      <c r="D32" s="23">
        <v>30</v>
      </c>
      <c r="E32" s="23">
        <v>210</v>
      </c>
      <c r="F32" s="23">
        <v>15157</v>
      </c>
      <c r="G32" s="23">
        <v>203</v>
      </c>
      <c r="H32" s="23">
        <v>349</v>
      </c>
      <c r="I32" s="23">
        <v>310</v>
      </c>
    </row>
    <row r="33" spans="2:9" ht="26.25" customHeight="1" thickBot="1" x14ac:dyDescent="0.35">
      <c r="B33" s="23">
        <v>29</v>
      </c>
      <c r="C33" s="23" t="s">
        <v>4</v>
      </c>
      <c r="D33" s="23">
        <v>34</v>
      </c>
      <c r="E33" s="23">
        <v>18</v>
      </c>
      <c r="F33" s="23">
        <v>21932</v>
      </c>
      <c r="G33" s="23">
        <v>14</v>
      </c>
      <c r="H33" s="23">
        <v>105</v>
      </c>
      <c r="I33" s="23">
        <v>103</v>
      </c>
    </row>
    <row r="34" spans="2:9" ht="26.25" customHeight="1" thickBot="1" x14ac:dyDescent="0.35">
      <c r="B34" s="23">
        <v>30</v>
      </c>
      <c r="C34" s="23" t="s">
        <v>3</v>
      </c>
      <c r="D34" s="23">
        <v>25</v>
      </c>
      <c r="E34" s="23">
        <v>11</v>
      </c>
      <c r="F34" s="23">
        <v>26902</v>
      </c>
      <c r="G34" s="23">
        <v>106</v>
      </c>
      <c r="H34" s="23">
        <v>276</v>
      </c>
      <c r="I34" s="23">
        <v>229</v>
      </c>
    </row>
    <row r="35" spans="2:9" ht="26.25" customHeight="1" x14ac:dyDescent="0.3">
      <c r="B35" s="23">
        <v>31</v>
      </c>
      <c r="C35" s="23" t="s">
        <v>2</v>
      </c>
      <c r="D35" s="23">
        <v>15</v>
      </c>
      <c r="E35" s="23">
        <v>13</v>
      </c>
      <c r="F35" s="23">
        <v>7865</v>
      </c>
      <c r="G35" s="23">
        <v>49</v>
      </c>
      <c r="H35" s="23">
        <v>149</v>
      </c>
      <c r="I35" s="23">
        <v>144</v>
      </c>
    </row>
    <row r="36" spans="2:9" ht="25.5" customHeight="1" x14ac:dyDescent="0.75">
      <c r="B36" s="22" t="s">
        <v>1</v>
      </c>
      <c r="C36" s="21"/>
      <c r="D36" s="20">
        <f ca="1">SUM(INDIRECT(ADDRESS(5,COLUMN())): INDIRECT(ADDRESS(ROW()-1,COLUMN())))</f>
        <v>1070</v>
      </c>
      <c r="E36" s="20">
        <f ca="1">SUM(INDIRECT(ADDRESS(5,COLUMN())): INDIRECT(ADDRESS(ROW()-1,COLUMN())))</f>
        <v>8179</v>
      </c>
      <c r="F36" s="20">
        <f ca="1">SUM(INDIRECT(ADDRESS(5,COLUMN())): INDIRECT(ADDRESS(ROW()-1,COLUMN())))</f>
        <v>1021932</v>
      </c>
      <c r="G36" s="20">
        <f ca="1">SUM(INDIRECT(ADDRESS(5,COLUMN())): INDIRECT(ADDRESS(ROW()-1,COLUMN())))</f>
        <v>9639</v>
      </c>
      <c r="H36" s="20">
        <f ca="1">SUM(INDIRECT(ADDRESS(5,COLUMN())): INDIRECT(ADDRESS(ROW()-1,COLUMN())))</f>
        <v>16064</v>
      </c>
      <c r="I36" s="20">
        <f ca="1">SUM(INDIRECT(ADDRESS(5,COLUMN())): INDIRECT(ADDRESS(ROW()-1,COLUMN())))</f>
        <v>14501</v>
      </c>
    </row>
    <row r="37" spans="2:9" ht="14.25" customHeight="1" x14ac:dyDescent="0.75">
      <c r="B37" s="31"/>
      <c r="C37" s="31"/>
      <c r="D37" s="3"/>
      <c r="E37" s="3"/>
      <c r="F37" s="3"/>
      <c r="G37" s="3"/>
      <c r="H37" s="3"/>
      <c r="I37" s="3"/>
    </row>
    <row r="38" spans="2:9" ht="15" customHeight="1" x14ac:dyDescent="0.3">
      <c r="B38" s="18" t="s">
        <v>0</v>
      </c>
      <c r="C38" s="18"/>
    </row>
  </sheetData>
  <mergeCells count="11">
    <mergeCell ref="H3:I3"/>
    <mergeCell ref="B36:C36"/>
    <mergeCell ref="B38:C38"/>
    <mergeCell ref="B1:I1"/>
    <mergeCell ref="B2:I2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9FF9-77A5-43C2-91A2-4DA33762DB23}">
  <dimension ref="A1:E32"/>
  <sheetViews>
    <sheetView rightToLeft="1" workbookViewId="0">
      <selection activeCell="G11" sqref="G11"/>
    </sheetView>
  </sheetViews>
  <sheetFormatPr defaultRowHeight="14.4" x14ac:dyDescent="0.3"/>
  <cols>
    <col min="1" max="1" width="14.88671875" bestFit="1" customWidth="1"/>
    <col min="2" max="2" width="9.5546875" bestFit="1" customWidth="1"/>
    <col min="3" max="3" width="8.5546875" bestFit="1" customWidth="1"/>
    <col min="4" max="4" width="20" bestFit="1" customWidth="1"/>
    <col min="5" max="5" width="11.33203125" bestFit="1" customWidth="1"/>
  </cols>
  <sheetData>
    <row r="1" spans="1:5" x14ac:dyDescent="0.3">
      <c r="A1" t="s">
        <v>79</v>
      </c>
      <c r="B1" t="s">
        <v>78</v>
      </c>
      <c r="C1" t="s">
        <v>77</v>
      </c>
      <c r="D1" t="s">
        <v>76</v>
      </c>
      <c r="E1" t="s">
        <v>75</v>
      </c>
    </row>
    <row r="2" spans="1:5" x14ac:dyDescent="0.3">
      <c r="A2" s="32" t="s">
        <v>32</v>
      </c>
      <c r="B2" s="32"/>
      <c r="C2">
        <v>37</v>
      </c>
      <c r="D2">
        <v>1552829.4669999999</v>
      </c>
      <c r="E2">
        <v>25</v>
      </c>
    </row>
    <row r="3" spans="1:5" x14ac:dyDescent="0.3">
      <c r="A3" s="32" t="s">
        <v>31</v>
      </c>
      <c r="B3" s="32"/>
      <c r="C3">
        <v>51</v>
      </c>
      <c r="D3">
        <v>2031383.6</v>
      </c>
      <c r="E3">
        <v>48</v>
      </c>
    </row>
    <row r="4" spans="1:5" x14ac:dyDescent="0.3">
      <c r="A4" s="32" t="s">
        <v>30</v>
      </c>
      <c r="B4" s="32"/>
      <c r="C4">
        <v>13</v>
      </c>
      <c r="D4">
        <v>690338.23</v>
      </c>
      <c r="E4">
        <v>13</v>
      </c>
    </row>
    <row r="5" spans="1:5" x14ac:dyDescent="0.3">
      <c r="A5" s="32" t="s">
        <v>29</v>
      </c>
      <c r="B5" s="32"/>
      <c r="C5">
        <v>57</v>
      </c>
      <c r="D5">
        <v>3200714.3</v>
      </c>
      <c r="E5">
        <v>47</v>
      </c>
    </row>
    <row r="6" spans="1:5" x14ac:dyDescent="0.3">
      <c r="A6" s="32" t="s">
        <v>28</v>
      </c>
      <c r="B6" s="32"/>
      <c r="C6">
        <v>7</v>
      </c>
      <c r="D6">
        <v>335856.43999999994</v>
      </c>
      <c r="E6">
        <v>7</v>
      </c>
    </row>
    <row r="7" spans="1:5" x14ac:dyDescent="0.3">
      <c r="A7" s="32" t="s">
        <v>27</v>
      </c>
      <c r="B7" s="32"/>
      <c r="C7">
        <v>3</v>
      </c>
      <c r="D7">
        <v>408928</v>
      </c>
      <c r="E7">
        <v>3</v>
      </c>
    </row>
    <row r="8" spans="1:5" x14ac:dyDescent="0.3">
      <c r="A8" s="32" t="s">
        <v>26</v>
      </c>
      <c r="B8" s="32"/>
      <c r="C8">
        <v>16</v>
      </c>
      <c r="D8">
        <v>2682195.2999999998</v>
      </c>
      <c r="E8">
        <v>13</v>
      </c>
    </row>
    <row r="9" spans="1:5" x14ac:dyDescent="0.3">
      <c r="A9" s="32" t="s">
        <v>74</v>
      </c>
      <c r="B9" s="32"/>
      <c r="C9">
        <v>23</v>
      </c>
      <c r="D9">
        <v>606017.27</v>
      </c>
      <c r="E9">
        <v>6</v>
      </c>
    </row>
    <row r="10" spans="1:5" x14ac:dyDescent="0.3">
      <c r="A10" s="32" t="s">
        <v>73</v>
      </c>
      <c r="B10" s="32"/>
      <c r="C10">
        <v>16</v>
      </c>
      <c r="D10">
        <v>743996.06980000006</v>
      </c>
      <c r="E10">
        <v>16</v>
      </c>
    </row>
    <row r="11" spans="1:5" x14ac:dyDescent="0.3">
      <c r="A11" s="32" t="s">
        <v>23</v>
      </c>
      <c r="B11" s="32"/>
      <c r="C11">
        <v>61</v>
      </c>
      <c r="D11">
        <v>2888267.2514</v>
      </c>
      <c r="E11">
        <v>61</v>
      </c>
    </row>
    <row r="12" spans="1:5" x14ac:dyDescent="0.3">
      <c r="A12" s="32" t="s">
        <v>22</v>
      </c>
      <c r="B12" s="32"/>
      <c r="C12">
        <v>105</v>
      </c>
      <c r="D12">
        <v>9315597.4750000015</v>
      </c>
      <c r="E12">
        <v>82</v>
      </c>
    </row>
    <row r="13" spans="1:5" x14ac:dyDescent="0.3">
      <c r="A13" s="32" t="s">
        <v>72</v>
      </c>
      <c r="B13" s="32"/>
      <c r="C13">
        <v>17</v>
      </c>
      <c r="D13">
        <v>1831517.57</v>
      </c>
      <c r="E13">
        <v>17</v>
      </c>
    </row>
    <row r="14" spans="1:5" x14ac:dyDescent="0.3">
      <c r="A14" s="32" t="s">
        <v>71</v>
      </c>
      <c r="B14" s="32"/>
      <c r="C14">
        <v>17</v>
      </c>
      <c r="D14">
        <v>4224322.3549000006</v>
      </c>
      <c r="E14">
        <v>17</v>
      </c>
    </row>
    <row r="15" spans="1:5" x14ac:dyDescent="0.3">
      <c r="A15" s="32" t="s">
        <v>70</v>
      </c>
      <c r="B15" s="32"/>
      <c r="C15">
        <v>27</v>
      </c>
      <c r="D15">
        <v>897304.15999999992</v>
      </c>
      <c r="E15">
        <v>27</v>
      </c>
    </row>
    <row r="16" spans="1:5" x14ac:dyDescent="0.3">
      <c r="A16" s="32" t="s">
        <v>69</v>
      </c>
      <c r="B16" s="32"/>
      <c r="C16">
        <v>7</v>
      </c>
      <c r="D16">
        <v>584873.07199999993</v>
      </c>
      <c r="E16">
        <v>2</v>
      </c>
    </row>
    <row r="17" spans="1:5" x14ac:dyDescent="0.3">
      <c r="A17" s="32" t="s">
        <v>68</v>
      </c>
      <c r="B17" s="32"/>
      <c r="C17">
        <v>11</v>
      </c>
      <c r="D17">
        <v>4000610.9780999999</v>
      </c>
      <c r="E17">
        <v>11</v>
      </c>
    </row>
    <row r="18" spans="1:5" x14ac:dyDescent="0.3">
      <c r="A18" s="32" t="s">
        <v>16</v>
      </c>
      <c r="B18" s="32"/>
      <c r="C18">
        <v>33</v>
      </c>
      <c r="D18">
        <v>3696371.0911000003</v>
      </c>
      <c r="E18">
        <v>33</v>
      </c>
    </row>
    <row r="19" spans="1:5" x14ac:dyDescent="0.3">
      <c r="A19" s="32" t="s">
        <v>67</v>
      </c>
      <c r="B19" s="32"/>
      <c r="C19">
        <v>6</v>
      </c>
      <c r="D19">
        <v>736481.88600000006</v>
      </c>
      <c r="E19">
        <v>6</v>
      </c>
    </row>
    <row r="20" spans="1:5" x14ac:dyDescent="0.3">
      <c r="A20" s="32" t="s">
        <v>14</v>
      </c>
      <c r="B20" s="32"/>
      <c r="C20">
        <v>8</v>
      </c>
      <c r="D20">
        <v>450625</v>
      </c>
      <c r="E20">
        <v>6</v>
      </c>
    </row>
    <row r="21" spans="1:5" x14ac:dyDescent="0.3">
      <c r="A21" s="32" t="s">
        <v>13</v>
      </c>
      <c r="B21" s="32"/>
      <c r="C21">
        <v>9</v>
      </c>
      <c r="D21">
        <v>803351.26</v>
      </c>
      <c r="E21">
        <v>9</v>
      </c>
    </row>
    <row r="22" spans="1:5" x14ac:dyDescent="0.3">
      <c r="A22" s="32" t="s">
        <v>12</v>
      </c>
      <c r="B22" s="32"/>
      <c r="C22">
        <v>35</v>
      </c>
      <c r="D22">
        <v>4735903.9648000011</v>
      </c>
      <c r="E22">
        <v>33</v>
      </c>
    </row>
    <row r="23" spans="1:5" x14ac:dyDescent="0.3">
      <c r="A23" s="32" t="s">
        <v>11</v>
      </c>
      <c r="B23" s="32"/>
      <c r="C23">
        <v>45</v>
      </c>
      <c r="D23">
        <v>1517895.7449999999</v>
      </c>
      <c r="E23">
        <v>44</v>
      </c>
    </row>
    <row r="24" spans="1:5" x14ac:dyDescent="0.3">
      <c r="A24" s="32" t="s">
        <v>10</v>
      </c>
      <c r="B24" s="32"/>
      <c r="C24">
        <v>26</v>
      </c>
      <c r="D24">
        <v>1240365.9599999997</v>
      </c>
      <c r="E24">
        <v>25</v>
      </c>
    </row>
    <row r="25" spans="1:5" x14ac:dyDescent="0.3">
      <c r="A25" s="32" t="s">
        <v>66</v>
      </c>
      <c r="B25" s="32"/>
      <c r="C25">
        <v>15</v>
      </c>
      <c r="D25">
        <v>1098136</v>
      </c>
      <c r="E25">
        <v>15</v>
      </c>
    </row>
    <row r="26" spans="1:5" x14ac:dyDescent="0.3">
      <c r="A26" s="32" t="s">
        <v>8</v>
      </c>
      <c r="B26" s="32"/>
      <c r="C26">
        <v>12</v>
      </c>
      <c r="D26">
        <v>1139909.7999999998</v>
      </c>
      <c r="E26">
        <v>12</v>
      </c>
    </row>
    <row r="27" spans="1:5" x14ac:dyDescent="0.3">
      <c r="A27" s="32" t="s">
        <v>65</v>
      </c>
      <c r="B27" s="32"/>
      <c r="C27">
        <v>5</v>
      </c>
      <c r="D27">
        <v>218597.454</v>
      </c>
      <c r="E27">
        <v>4</v>
      </c>
    </row>
    <row r="28" spans="1:5" x14ac:dyDescent="0.3">
      <c r="A28" s="32" t="s">
        <v>64</v>
      </c>
      <c r="B28" s="32"/>
      <c r="C28">
        <v>13</v>
      </c>
      <c r="D28">
        <v>743576.5</v>
      </c>
      <c r="E28">
        <v>13</v>
      </c>
    </row>
    <row r="29" spans="1:5" x14ac:dyDescent="0.3">
      <c r="A29" s="32" t="s">
        <v>5</v>
      </c>
      <c r="B29" s="32"/>
      <c r="C29">
        <v>3</v>
      </c>
      <c r="D29">
        <v>1162728</v>
      </c>
      <c r="E29">
        <v>3</v>
      </c>
    </row>
    <row r="30" spans="1:5" x14ac:dyDescent="0.3">
      <c r="A30" s="32" t="s">
        <v>63</v>
      </c>
      <c r="B30" s="32"/>
      <c r="C30">
        <v>20</v>
      </c>
      <c r="D30">
        <v>5986710.6555999992</v>
      </c>
      <c r="E30">
        <v>17</v>
      </c>
    </row>
    <row r="31" spans="1:5" x14ac:dyDescent="0.3">
      <c r="A31" s="32" t="s">
        <v>3</v>
      </c>
      <c r="B31" s="32"/>
      <c r="C31">
        <v>2</v>
      </c>
      <c r="D31">
        <v>215000</v>
      </c>
      <c r="E31">
        <v>2</v>
      </c>
    </row>
    <row r="32" spans="1:5" x14ac:dyDescent="0.3">
      <c r="A32" s="32" t="s">
        <v>2</v>
      </c>
      <c r="B32" s="32"/>
      <c r="C32">
        <v>44</v>
      </c>
      <c r="D32">
        <v>1921821.3401000001</v>
      </c>
      <c r="E32">
        <v>32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8812-746B-4B4C-B8A4-C8252F10C006}">
  <dimension ref="A1:H32"/>
  <sheetViews>
    <sheetView rightToLeft="1" tabSelected="1" workbookViewId="0">
      <selection activeCell="E7" sqref="E7"/>
    </sheetView>
  </sheetViews>
  <sheetFormatPr defaultRowHeight="15" customHeight="1" x14ac:dyDescent="0.3"/>
  <cols>
    <col min="1" max="1" width="13" style="11" customWidth="1"/>
    <col min="2" max="2" width="12" style="11" customWidth="1"/>
    <col min="3" max="3" width="12.77734375" style="11" customWidth="1"/>
    <col min="4" max="4" width="17" style="11" customWidth="1"/>
    <col min="5" max="5" width="17.88671875" style="11" customWidth="1"/>
    <col min="6" max="6" width="14.21875" style="11" customWidth="1"/>
    <col min="7" max="7" width="15.6640625" style="11" customWidth="1"/>
    <col min="8" max="8" width="19.77734375" style="11" customWidth="1"/>
    <col min="9" max="16384" width="8.88671875" style="11"/>
  </cols>
  <sheetData>
    <row r="1" spans="1:8" ht="15" customHeight="1" x14ac:dyDescent="0.3">
      <c r="A1" s="34" t="s">
        <v>79</v>
      </c>
      <c r="B1" s="34" t="s">
        <v>78</v>
      </c>
      <c r="C1" s="34" t="s">
        <v>77</v>
      </c>
      <c r="D1" s="34" t="s">
        <v>85</v>
      </c>
      <c r="E1" s="34" t="s">
        <v>84</v>
      </c>
      <c r="F1" s="34" t="s">
        <v>83</v>
      </c>
      <c r="G1" s="34" t="s">
        <v>82</v>
      </c>
      <c r="H1" s="34" t="s">
        <v>81</v>
      </c>
    </row>
    <row r="2" spans="1:8" ht="15" customHeight="1" x14ac:dyDescent="0.3">
      <c r="A2" s="33" t="s">
        <v>32</v>
      </c>
      <c r="B2" s="33" t="s">
        <v>80</v>
      </c>
      <c r="C2" s="33">
        <v>326</v>
      </c>
      <c r="D2" s="33">
        <v>119351.3132</v>
      </c>
      <c r="E2" s="33">
        <v>2115964932611</v>
      </c>
      <c r="F2" s="33">
        <v>0</v>
      </c>
      <c r="G2" s="33">
        <v>-6085900000</v>
      </c>
      <c r="H2" s="33">
        <v>2109879032611</v>
      </c>
    </row>
    <row r="3" spans="1:8" ht="15" customHeight="1" x14ac:dyDescent="0.3">
      <c r="A3" s="33" t="s">
        <v>31</v>
      </c>
      <c r="B3" s="33" t="s">
        <v>80</v>
      </c>
      <c r="C3" s="33">
        <v>858</v>
      </c>
      <c r="D3" s="33">
        <v>274338.10200000001</v>
      </c>
      <c r="E3" s="33">
        <v>1892840694348</v>
      </c>
      <c r="F3" s="33">
        <v>48614696733</v>
      </c>
      <c r="G3" s="33">
        <v>-4713200000</v>
      </c>
      <c r="H3" s="33">
        <v>1936742191081</v>
      </c>
    </row>
    <row r="4" spans="1:8" ht="15" customHeight="1" x14ac:dyDescent="0.3">
      <c r="A4" s="33" t="s">
        <v>30</v>
      </c>
      <c r="B4" s="33" t="s">
        <v>80</v>
      </c>
      <c r="C4" s="33">
        <v>171</v>
      </c>
      <c r="D4" s="33">
        <v>72933.84</v>
      </c>
      <c r="E4" s="33">
        <v>594430474948</v>
      </c>
      <c r="F4" s="33">
        <v>15832546120</v>
      </c>
      <c r="G4" s="33">
        <v>-248906000</v>
      </c>
      <c r="H4" s="33">
        <v>610014115068</v>
      </c>
    </row>
    <row r="5" spans="1:8" ht="15" customHeight="1" x14ac:dyDescent="0.3">
      <c r="A5" s="33" t="s">
        <v>29</v>
      </c>
      <c r="B5" s="33" t="s">
        <v>80</v>
      </c>
      <c r="C5" s="33">
        <v>1075</v>
      </c>
      <c r="D5" s="33">
        <v>287996.87</v>
      </c>
      <c r="E5" s="33">
        <v>627888301647</v>
      </c>
      <c r="F5" s="33">
        <v>2098890000</v>
      </c>
      <c r="G5" s="33">
        <v>0</v>
      </c>
      <c r="H5" s="33">
        <v>629987191647</v>
      </c>
    </row>
    <row r="6" spans="1:8" ht="15" customHeight="1" x14ac:dyDescent="0.3">
      <c r="A6" s="33" t="s">
        <v>28</v>
      </c>
      <c r="B6" s="33" t="s">
        <v>80</v>
      </c>
      <c r="C6" s="33">
        <v>81</v>
      </c>
      <c r="D6" s="33">
        <v>20275.359499999999</v>
      </c>
      <c r="E6" s="33">
        <v>1595728328127</v>
      </c>
      <c r="F6" s="33">
        <v>0</v>
      </c>
      <c r="G6" s="33">
        <v>0</v>
      </c>
      <c r="H6" s="33">
        <v>1595728328127</v>
      </c>
    </row>
    <row r="7" spans="1:8" ht="15" customHeight="1" x14ac:dyDescent="0.3">
      <c r="A7" s="33" t="s">
        <v>27</v>
      </c>
      <c r="B7" s="33" t="s">
        <v>80</v>
      </c>
      <c r="C7" s="33">
        <v>134</v>
      </c>
      <c r="D7" s="33">
        <v>39682.22</v>
      </c>
      <c r="E7" s="33">
        <v>113754329915</v>
      </c>
      <c r="F7" s="33">
        <v>8791377484</v>
      </c>
      <c r="G7" s="33">
        <v>-500000</v>
      </c>
      <c r="H7" s="33">
        <v>122545207399</v>
      </c>
    </row>
    <row r="8" spans="1:8" ht="15" customHeight="1" x14ac:dyDescent="0.3">
      <c r="A8" s="33" t="s">
        <v>26</v>
      </c>
      <c r="B8" s="33" t="s">
        <v>80</v>
      </c>
      <c r="C8" s="33">
        <v>1009</v>
      </c>
      <c r="D8" s="33">
        <v>314226.19744000002</v>
      </c>
      <c r="E8" s="33">
        <v>758502133092</v>
      </c>
      <c r="F8" s="33">
        <v>17970591235</v>
      </c>
      <c r="G8" s="33">
        <v>0</v>
      </c>
      <c r="H8" s="33">
        <v>776472724327</v>
      </c>
    </row>
    <row r="9" spans="1:8" ht="15" customHeight="1" x14ac:dyDescent="0.3">
      <c r="A9" s="33" t="s">
        <v>25</v>
      </c>
      <c r="B9" s="33" t="s">
        <v>80</v>
      </c>
      <c r="C9" s="33">
        <v>27</v>
      </c>
      <c r="D9" s="33">
        <v>6385.46</v>
      </c>
      <c r="E9" s="33">
        <v>633361488920</v>
      </c>
      <c r="F9" s="33">
        <v>359713727000</v>
      </c>
      <c r="G9" s="33">
        <v>0</v>
      </c>
      <c r="H9" s="33">
        <v>993075215920</v>
      </c>
    </row>
    <row r="10" spans="1:8" ht="15" customHeight="1" x14ac:dyDescent="0.3">
      <c r="A10" s="33" t="s">
        <v>24</v>
      </c>
      <c r="B10" s="33" t="s">
        <v>80</v>
      </c>
      <c r="C10" s="33">
        <v>271</v>
      </c>
      <c r="D10" s="33">
        <v>66037.520499999999</v>
      </c>
      <c r="E10" s="33">
        <v>569866563074</v>
      </c>
      <c r="F10" s="33">
        <v>9174761960</v>
      </c>
      <c r="G10" s="33">
        <v>0</v>
      </c>
      <c r="H10" s="33">
        <v>579041325034</v>
      </c>
    </row>
    <row r="11" spans="1:8" ht="15" customHeight="1" x14ac:dyDescent="0.3">
      <c r="A11" s="33" t="s">
        <v>23</v>
      </c>
      <c r="B11" s="33" t="s">
        <v>80</v>
      </c>
      <c r="C11" s="33">
        <v>1095</v>
      </c>
      <c r="D11" s="33">
        <v>282830.90000000002</v>
      </c>
      <c r="E11" s="33">
        <v>428789083388</v>
      </c>
      <c r="F11" s="33">
        <v>9450855079</v>
      </c>
      <c r="G11" s="33">
        <v>-1216253997</v>
      </c>
      <c r="H11" s="33">
        <v>437023684470</v>
      </c>
    </row>
    <row r="12" spans="1:8" ht="15" customHeight="1" x14ac:dyDescent="0.3">
      <c r="A12" s="33" t="s">
        <v>22</v>
      </c>
      <c r="B12" s="33" t="s">
        <v>80</v>
      </c>
      <c r="C12" s="33">
        <v>2319</v>
      </c>
      <c r="D12" s="33">
        <v>601493.2254</v>
      </c>
      <c r="E12" s="33">
        <v>1842785988072</v>
      </c>
      <c r="F12" s="33">
        <v>45737769833</v>
      </c>
      <c r="G12" s="33">
        <v>-4284865725</v>
      </c>
      <c r="H12" s="33">
        <v>1884238892180</v>
      </c>
    </row>
    <row r="13" spans="1:8" ht="15" customHeight="1" x14ac:dyDescent="0.3">
      <c r="A13" s="33" t="s">
        <v>21</v>
      </c>
      <c r="B13" s="33" t="s">
        <v>80</v>
      </c>
      <c r="C13" s="33">
        <v>674</v>
      </c>
      <c r="D13" s="33">
        <v>197204.1404</v>
      </c>
      <c r="E13" s="33">
        <v>605565745665.5</v>
      </c>
      <c r="F13" s="33">
        <v>50398795677</v>
      </c>
      <c r="G13" s="33">
        <v>-5325000000</v>
      </c>
      <c r="H13" s="33">
        <v>650639541342.5</v>
      </c>
    </row>
    <row r="14" spans="1:8" ht="15" customHeight="1" x14ac:dyDescent="0.3">
      <c r="A14" s="33" t="s">
        <v>20</v>
      </c>
      <c r="B14" s="33" t="s">
        <v>80</v>
      </c>
      <c r="C14" s="33">
        <v>314</v>
      </c>
      <c r="D14" s="33">
        <v>72988.406300000002</v>
      </c>
      <c r="E14" s="33">
        <v>351331117056</v>
      </c>
      <c r="F14" s="33">
        <v>8819015660</v>
      </c>
      <c r="G14" s="33">
        <v>-60000000</v>
      </c>
      <c r="H14" s="33">
        <v>360090132716</v>
      </c>
    </row>
    <row r="15" spans="1:8" ht="15" customHeight="1" x14ac:dyDescent="0.3">
      <c r="A15" s="33" t="s">
        <v>19</v>
      </c>
      <c r="B15" s="33" t="s">
        <v>80</v>
      </c>
      <c r="C15" s="33">
        <v>152</v>
      </c>
      <c r="D15" s="33">
        <v>46032.01</v>
      </c>
      <c r="E15" s="33">
        <v>554385252200</v>
      </c>
      <c r="F15" s="33">
        <v>6088289000</v>
      </c>
      <c r="G15" s="33">
        <v>-875000000</v>
      </c>
      <c r="H15" s="33">
        <v>559598541200</v>
      </c>
    </row>
    <row r="16" spans="1:8" ht="15" customHeight="1" x14ac:dyDescent="0.3">
      <c r="A16" s="33" t="s">
        <v>18</v>
      </c>
      <c r="B16" s="33" t="s">
        <v>80</v>
      </c>
      <c r="C16" s="33">
        <v>255</v>
      </c>
      <c r="D16" s="33">
        <v>63059.23</v>
      </c>
      <c r="E16" s="33">
        <v>499192333563</v>
      </c>
      <c r="F16" s="33">
        <v>2573429508</v>
      </c>
      <c r="G16" s="33">
        <v>-1009115770</v>
      </c>
      <c r="H16" s="33">
        <v>500756647301</v>
      </c>
    </row>
    <row r="17" spans="1:8" ht="15" customHeight="1" x14ac:dyDescent="0.3">
      <c r="A17" s="33" t="s">
        <v>17</v>
      </c>
      <c r="B17" s="33" t="s">
        <v>80</v>
      </c>
      <c r="C17" s="33">
        <v>3184</v>
      </c>
      <c r="D17" s="33">
        <v>996869.87990000006</v>
      </c>
      <c r="E17" s="33">
        <v>2326954551871</v>
      </c>
      <c r="F17" s="33">
        <v>20888301470</v>
      </c>
      <c r="G17" s="33">
        <v>-12375000</v>
      </c>
      <c r="H17" s="33">
        <v>2347830478341</v>
      </c>
    </row>
    <row r="18" spans="1:8" ht="15" customHeight="1" x14ac:dyDescent="0.3">
      <c r="A18" s="33" t="s">
        <v>16</v>
      </c>
      <c r="B18" s="33" t="s">
        <v>80</v>
      </c>
      <c r="C18" s="33">
        <v>903</v>
      </c>
      <c r="D18" s="33">
        <v>351890.54009999998</v>
      </c>
      <c r="E18" s="33">
        <v>1009486752706</v>
      </c>
      <c r="F18" s="33">
        <v>83779793166</v>
      </c>
      <c r="G18" s="33">
        <v>-108604600</v>
      </c>
      <c r="H18" s="33">
        <v>1093157941272</v>
      </c>
    </row>
    <row r="19" spans="1:8" ht="15" customHeight="1" x14ac:dyDescent="0.3">
      <c r="A19" s="33" t="s">
        <v>15</v>
      </c>
      <c r="B19" s="33" t="s">
        <v>80</v>
      </c>
      <c r="C19" s="33">
        <v>152</v>
      </c>
      <c r="D19" s="33">
        <v>41640.379999999997</v>
      </c>
      <c r="E19" s="33">
        <v>448869931054</v>
      </c>
      <c r="F19" s="33">
        <v>2859015000</v>
      </c>
      <c r="G19" s="33">
        <v>0</v>
      </c>
      <c r="H19" s="33">
        <v>451728946054</v>
      </c>
    </row>
    <row r="20" spans="1:8" ht="15" customHeight="1" x14ac:dyDescent="0.3">
      <c r="A20" s="33" t="s">
        <v>14</v>
      </c>
      <c r="B20" s="33" t="s">
        <v>80</v>
      </c>
      <c r="C20" s="33">
        <v>262</v>
      </c>
      <c r="D20" s="33">
        <v>56818</v>
      </c>
      <c r="E20" s="33">
        <v>823470410871</v>
      </c>
      <c r="F20" s="33">
        <v>6465143000</v>
      </c>
      <c r="G20" s="33">
        <v>0</v>
      </c>
      <c r="H20" s="33">
        <v>829935553871</v>
      </c>
    </row>
    <row r="21" spans="1:8" ht="15" customHeight="1" x14ac:dyDescent="0.3">
      <c r="A21" s="33" t="s">
        <v>13</v>
      </c>
      <c r="B21" s="33" t="s">
        <v>80</v>
      </c>
      <c r="C21" s="33">
        <v>64</v>
      </c>
      <c r="D21" s="33">
        <v>13010.01</v>
      </c>
      <c r="E21" s="33">
        <v>305297737752</v>
      </c>
      <c r="F21" s="33">
        <v>-1059999999</v>
      </c>
      <c r="G21" s="33">
        <v>0</v>
      </c>
      <c r="H21" s="33">
        <v>304237737753</v>
      </c>
    </row>
    <row r="22" spans="1:8" ht="15" customHeight="1" x14ac:dyDescent="0.3">
      <c r="A22" s="33" t="s">
        <v>12</v>
      </c>
      <c r="B22" s="33" t="s">
        <v>80</v>
      </c>
      <c r="C22" s="33">
        <v>1199</v>
      </c>
      <c r="D22" s="33">
        <v>474654.04200000002</v>
      </c>
      <c r="E22" s="33">
        <v>1300595973168</v>
      </c>
      <c r="F22" s="33">
        <v>221844009294</v>
      </c>
      <c r="G22" s="33">
        <v>-11890281160</v>
      </c>
      <c r="H22" s="33">
        <v>1510549701302</v>
      </c>
    </row>
    <row r="23" spans="1:8" ht="15" customHeight="1" x14ac:dyDescent="0.3">
      <c r="A23" s="33" t="s">
        <v>11</v>
      </c>
      <c r="B23" s="33" t="s">
        <v>80</v>
      </c>
      <c r="C23" s="33">
        <v>428</v>
      </c>
      <c r="D23" s="33">
        <v>110383.173</v>
      </c>
      <c r="E23" s="33">
        <v>1321515467811</v>
      </c>
      <c r="F23" s="33">
        <v>13329349700</v>
      </c>
      <c r="G23" s="33">
        <v>0</v>
      </c>
      <c r="H23" s="33">
        <v>1334844817511</v>
      </c>
    </row>
    <row r="24" spans="1:8" ht="15" customHeight="1" x14ac:dyDescent="0.3">
      <c r="A24" s="33" t="s">
        <v>10</v>
      </c>
      <c r="B24" s="33" t="s">
        <v>80</v>
      </c>
      <c r="C24" s="33">
        <v>194</v>
      </c>
      <c r="D24" s="33">
        <v>65534.271000000001</v>
      </c>
      <c r="E24" s="33">
        <v>82227943047</v>
      </c>
      <c r="F24" s="33">
        <v>6794089700</v>
      </c>
      <c r="G24" s="33">
        <v>0</v>
      </c>
      <c r="H24" s="33">
        <v>89022032747</v>
      </c>
    </row>
    <row r="25" spans="1:8" ht="15" customHeight="1" x14ac:dyDescent="0.3">
      <c r="A25" s="33" t="s">
        <v>9</v>
      </c>
      <c r="B25" s="33" t="s">
        <v>80</v>
      </c>
      <c r="C25" s="33">
        <v>596</v>
      </c>
      <c r="D25" s="33">
        <v>156959.41200000001</v>
      </c>
      <c r="E25" s="33">
        <v>1021132628078</v>
      </c>
      <c r="F25" s="33">
        <v>3680906634</v>
      </c>
      <c r="G25" s="33">
        <v>-1237500000</v>
      </c>
      <c r="H25" s="33">
        <v>1023576034712</v>
      </c>
    </row>
    <row r="26" spans="1:8" ht="15" customHeight="1" x14ac:dyDescent="0.3">
      <c r="A26" s="33" t="s">
        <v>8</v>
      </c>
      <c r="B26" s="33" t="s">
        <v>80</v>
      </c>
      <c r="C26" s="33">
        <v>121</v>
      </c>
      <c r="D26" s="33">
        <v>64145.22</v>
      </c>
      <c r="E26" s="33">
        <v>302255669122</v>
      </c>
      <c r="F26" s="33">
        <v>17154695000</v>
      </c>
      <c r="G26" s="33">
        <v>0</v>
      </c>
      <c r="H26" s="33">
        <v>319410364122</v>
      </c>
    </row>
    <row r="27" spans="1:8" ht="15" customHeight="1" x14ac:dyDescent="0.3">
      <c r="A27" s="33" t="s">
        <v>7</v>
      </c>
      <c r="B27" s="33" t="s">
        <v>80</v>
      </c>
      <c r="C27" s="33">
        <v>62</v>
      </c>
      <c r="D27" s="33">
        <v>18196.254499999999</v>
      </c>
      <c r="E27" s="33">
        <v>33486947580</v>
      </c>
      <c r="F27" s="33">
        <v>0</v>
      </c>
      <c r="G27" s="33">
        <v>0</v>
      </c>
      <c r="H27" s="33">
        <v>33486947580</v>
      </c>
    </row>
    <row r="28" spans="1:8" ht="15" customHeight="1" x14ac:dyDescent="0.3">
      <c r="A28" s="33" t="s">
        <v>6</v>
      </c>
      <c r="B28" s="33" t="s">
        <v>80</v>
      </c>
      <c r="C28" s="33">
        <v>48</v>
      </c>
      <c r="D28" s="33">
        <v>9579.35</v>
      </c>
      <c r="E28" s="33">
        <v>13485993834</v>
      </c>
      <c r="F28" s="33">
        <v>0</v>
      </c>
      <c r="G28" s="33">
        <v>0</v>
      </c>
      <c r="H28" s="33">
        <v>13485993834</v>
      </c>
    </row>
    <row r="29" spans="1:8" ht="15" customHeight="1" x14ac:dyDescent="0.3">
      <c r="A29" s="33" t="s">
        <v>5</v>
      </c>
      <c r="B29" s="33" t="s">
        <v>80</v>
      </c>
      <c r="C29" s="33">
        <v>274</v>
      </c>
      <c r="D29" s="33">
        <v>90080.904889482394</v>
      </c>
      <c r="E29" s="33">
        <v>562076561517</v>
      </c>
      <c r="F29" s="33">
        <v>9375574600</v>
      </c>
      <c r="G29" s="33">
        <v>-60000000</v>
      </c>
      <c r="H29" s="33">
        <v>571392136117</v>
      </c>
    </row>
    <row r="30" spans="1:8" ht="15" customHeight="1" x14ac:dyDescent="0.3">
      <c r="A30" s="33" t="s">
        <v>4</v>
      </c>
      <c r="B30" s="33" t="s">
        <v>80</v>
      </c>
      <c r="C30" s="33">
        <v>2421</v>
      </c>
      <c r="D30" s="33">
        <v>1032095.6866</v>
      </c>
      <c r="E30" s="33">
        <v>2311090436832</v>
      </c>
      <c r="F30" s="33">
        <v>13480247720</v>
      </c>
      <c r="G30" s="33">
        <v>-4207058200</v>
      </c>
      <c r="H30" s="33">
        <v>2320363626352</v>
      </c>
    </row>
    <row r="31" spans="1:8" ht="15" customHeight="1" x14ac:dyDescent="0.3">
      <c r="A31" s="33" t="s">
        <v>3</v>
      </c>
      <c r="B31" s="33" t="s">
        <v>80</v>
      </c>
      <c r="C31" s="33">
        <v>225</v>
      </c>
      <c r="D31" s="33">
        <v>55471.17</v>
      </c>
      <c r="E31" s="33">
        <v>455509708150</v>
      </c>
      <c r="F31" s="33">
        <v>0</v>
      </c>
      <c r="G31" s="33">
        <v>-1375000000</v>
      </c>
      <c r="H31" s="33">
        <v>454134708150</v>
      </c>
    </row>
    <row r="32" spans="1:8" ht="15" customHeight="1" x14ac:dyDescent="0.3">
      <c r="A32" s="33" t="s">
        <v>2</v>
      </c>
      <c r="B32" s="33" t="s">
        <v>80</v>
      </c>
      <c r="C32" s="33">
        <v>1156</v>
      </c>
      <c r="D32" s="33">
        <v>265599.17</v>
      </c>
      <c r="E32" s="33">
        <v>2144224963175</v>
      </c>
      <c r="F32" s="33">
        <v>5628210000</v>
      </c>
      <c r="G32" s="33">
        <v>-22981175100</v>
      </c>
      <c r="H32" s="33">
        <v>2126871998075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اخذ سند</vt:lpstr>
      <vt:lpstr>درآمد هزینه واگذاری</vt:lpstr>
      <vt:lpstr>سند روستایی</vt:lpstr>
      <vt:lpstr>سند شهری</vt:lpstr>
      <vt:lpstr>تملک</vt:lpstr>
      <vt:lpstr>واگذاری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2026-10-20T13:33:02Z</dcterms:created>
  <dcterms:modified xsi:type="dcterms:W3CDTF">2026-10-20T13:38:54Z</dcterms:modified>
</cp:coreProperties>
</file>