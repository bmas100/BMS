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AmarVba\downloaded\khadamatFani\"/>
    </mc:Choice>
  </mc:AlternateContent>
  <xr:revisionPtr revIDLastSave="0" documentId="13_ncr:1_{8EB538F9-0A76-4622-A159-405F7543DF90}" xr6:coauthVersionLast="47" xr6:coauthVersionMax="47" xr10:uidLastSave="{00000000-0000-0000-0000-000000000000}"/>
  <bookViews>
    <workbookView xWindow="20610" yWindow="1845" windowWidth="14400" windowHeight="10665" firstSheet="1" activeTab="3" xr2:uid="{BD0DAB3A-22D2-42AF-B5B7-AC5D11B2B161}"/>
  </bookViews>
  <sheets>
    <sheet name="1402" sheetId="1" r:id="rId1"/>
    <sheet name="1403" sheetId="2" r:id="rId2"/>
    <sheet name="1404" sheetId="3" r:id="rId3"/>
    <sheet name="140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3" i="4" l="1"/>
  <c r="G33" i="4"/>
  <c r="F33" i="4"/>
  <c r="E33" i="4"/>
  <c r="D33" i="4"/>
  <c r="C33" i="4"/>
  <c r="B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H33" i="3"/>
  <c r="G33" i="3"/>
  <c r="F33" i="3"/>
  <c r="E33" i="3"/>
  <c r="D33" i="3"/>
  <c r="C33" i="3"/>
  <c r="B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H33" i="2"/>
  <c r="G33" i="2"/>
  <c r="F33" i="2"/>
  <c r="E33" i="2"/>
  <c r="D33" i="2"/>
  <c r="C33" i="2"/>
  <c r="B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H33" i="1"/>
  <c r="B33" i="1"/>
  <c r="C33" i="1"/>
  <c r="E33" i="1"/>
  <c r="F33" i="1"/>
  <c r="G33" i="1"/>
  <c r="D33" i="1"/>
  <c r="I33" i="4" l="1"/>
  <c r="I33" i="3"/>
  <c r="I33" i="2"/>
  <c r="I33" i="1"/>
</calcChain>
</file>

<file path=xl/sharedStrings.xml><?xml version="1.0" encoding="utf-8"?>
<sst xmlns="http://schemas.openxmlformats.org/spreadsheetml/2006/main" count="164" uniqueCount="41">
  <si>
    <t>استان</t>
  </si>
  <si>
    <t>خدمات فنی</t>
  </si>
  <si>
    <t>تغییر کاربری</t>
  </si>
  <si>
    <t>اصلاح معابر</t>
  </si>
  <si>
    <t>اصلاح ضوابط</t>
  </si>
  <si>
    <t>اصلاح محدوده</t>
  </si>
  <si>
    <t>آذربایجان شرقی</t>
  </si>
  <si>
    <t>آذربایجان غربی</t>
  </si>
  <si>
    <t>اردبیل</t>
  </si>
  <si>
    <t>اصفهان</t>
  </si>
  <si>
    <t>البرز</t>
  </si>
  <si>
    <t>ایلام</t>
  </si>
  <si>
    <t>بوشهر</t>
  </si>
  <si>
    <t>تهران</t>
  </si>
  <si>
    <t>چهارمحال و بختیاری</t>
  </si>
  <si>
    <t>خراسان جنوبی</t>
  </si>
  <si>
    <t>خراسان رضوی</t>
  </si>
  <si>
    <t>خراسان شمالی</t>
  </si>
  <si>
    <t>خوزستان</t>
  </si>
  <si>
    <t>زنجان</t>
  </si>
  <si>
    <t>سمنان</t>
  </si>
  <si>
    <t>سیستان و بلوچستان</t>
  </si>
  <si>
    <t>فارس</t>
  </si>
  <si>
    <t>قزوین</t>
  </si>
  <si>
    <t>قم</t>
  </si>
  <si>
    <t>کردستان</t>
  </si>
  <si>
    <t>کرمان</t>
  </si>
  <si>
    <t>کرمانشاه</t>
  </si>
  <si>
    <t>کهگیلویه و بویراحمد</t>
  </si>
  <si>
    <t>گلستان</t>
  </si>
  <si>
    <t>گیلان</t>
  </si>
  <si>
    <t>لرستان</t>
  </si>
  <si>
    <t>مازندران</t>
  </si>
  <si>
    <t>مرکزی</t>
  </si>
  <si>
    <t>هرمزگان</t>
  </si>
  <si>
    <t>همدان</t>
  </si>
  <si>
    <t>یزد</t>
  </si>
  <si>
    <t>تعیین محدوده</t>
  </si>
  <si>
    <t>پایان کار</t>
  </si>
  <si>
    <t>جمع</t>
  </si>
  <si>
    <t>جمع کل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</si>
</sst>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CB7C1-E5E2-4BDA-B751-35BFEE163AF2}">
  <dimension ref="A1:I33"/>
  <sheetViews>
    <sheetView rightToLeft="1" workbookViewId="0">
      <selection activeCell="B2" sqref="B2:H32"/>
    </sheetView>
  </sheetViews>
  <sheetFormatPr defaultRowHeight="15" x14ac:dyDescent="0.25"/>
  <cols>
    <col min="1" max="1" width="15.85546875" bestFit="1" customWidth="1"/>
    <col min="3" max="4" width="9.28515625" bestFit="1" customWidth="1"/>
    <col min="5" max="5" width="9.85546875" bestFit="1" customWidth="1"/>
    <col min="6" max="6" width="11" bestFit="1" customWidth="1"/>
    <col min="7" max="7" width="11.5703125" bestFit="1" customWidth="1"/>
  </cols>
  <sheetData>
    <row r="1" spans="1:9" x14ac:dyDescent="0.25">
      <c r="A1" s="1" t="s">
        <v>0</v>
      </c>
      <c r="B1" s="2" t="s">
        <v>1</v>
      </c>
      <c r="C1" s="2" t="s">
        <v>37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38</v>
      </c>
      <c r="I1" s="10" t="s">
        <v>40</v>
      </c>
    </row>
    <row r="2" spans="1:9" x14ac:dyDescent="0.25">
      <c r="A2" s="3" t="s">
        <v>6</v>
      </c>
      <c r="B2" s="4">
        <v>14818</v>
      </c>
      <c r="C2" s="4">
        <v>9662</v>
      </c>
      <c r="D2" s="5">
        <v>540</v>
      </c>
      <c r="E2" s="6">
        <v>142</v>
      </c>
      <c r="F2" s="6">
        <v>136</v>
      </c>
      <c r="G2" s="6">
        <v>201</v>
      </c>
      <c r="H2" s="6">
        <v>17</v>
      </c>
      <c r="I2" s="11">
        <f>SUM(B2:H2)</f>
        <v>25516</v>
      </c>
    </row>
    <row r="3" spans="1:9" x14ac:dyDescent="0.25">
      <c r="A3" s="3" t="s">
        <v>7</v>
      </c>
      <c r="B3" s="4">
        <v>9345</v>
      </c>
      <c r="C3" s="4">
        <v>24324</v>
      </c>
      <c r="D3" s="5">
        <v>126</v>
      </c>
      <c r="E3" s="6">
        <v>63</v>
      </c>
      <c r="F3" s="6">
        <v>40</v>
      </c>
      <c r="G3" s="6">
        <v>56</v>
      </c>
      <c r="H3" s="6">
        <v>658</v>
      </c>
      <c r="I3" s="11">
        <f t="shared" ref="I3:I32" si="0">SUM(B3:H3)</f>
        <v>34612</v>
      </c>
    </row>
    <row r="4" spans="1:9" x14ac:dyDescent="0.25">
      <c r="A4" s="3" t="s">
        <v>8</v>
      </c>
      <c r="B4" s="4">
        <v>7306</v>
      </c>
      <c r="C4" s="4">
        <v>5401</v>
      </c>
      <c r="D4" s="5">
        <v>602</v>
      </c>
      <c r="E4" s="6">
        <v>91</v>
      </c>
      <c r="F4" s="6">
        <v>45</v>
      </c>
      <c r="G4" s="6">
        <v>170</v>
      </c>
      <c r="H4" s="6">
        <v>672</v>
      </c>
      <c r="I4" s="11">
        <f t="shared" si="0"/>
        <v>14287</v>
      </c>
    </row>
    <row r="5" spans="1:9" x14ac:dyDescent="0.25">
      <c r="A5" s="3" t="s">
        <v>9</v>
      </c>
      <c r="B5" s="4">
        <v>9303</v>
      </c>
      <c r="C5" s="4">
        <v>2694</v>
      </c>
      <c r="D5" s="5">
        <v>750</v>
      </c>
      <c r="E5" s="6">
        <v>288</v>
      </c>
      <c r="F5" s="6">
        <v>69</v>
      </c>
      <c r="G5" s="6">
        <v>386</v>
      </c>
      <c r="H5" s="6">
        <v>67</v>
      </c>
      <c r="I5" s="11">
        <f t="shared" si="0"/>
        <v>13557</v>
      </c>
    </row>
    <row r="6" spans="1:9" x14ac:dyDescent="0.25">
      <c r="A6" s="3" t="s">
        <v>10</v>
      </c>
      <c r="B6" s="4">
        <v>1761</v>
      </c>
      <c r="C6" s="4">
        <v>2175</v>
      </c>
      <c r="D6" s="5">
        <v>253</v>
      </c>
      <c r="E6" s="6">
        <v>36</v>
      </c>
      <c r="F6" s="6">
        <v>162</v>
      </c>
      <c r="G6" s="6">
        <v>50</v>
      </c>
      <c r="H6" s="6">
        <v>174</v>
      </c>
      <c r="I6" s="11">
        <f t="shared" si="0"/>
        <v>4611</v>
      </c>
    </row>
    <row r="7" spans="1:9" x14ac:dyDescent="0.25">
      <c r="A7" s="3" t="s">
        <v>11</v>
      </c>
      <c r="B7" s="4">
        <v>2330</v>
      </c>
      <c r="C7" s="4">
        <v>2124</v>
      </c>
      <c r="D7" s="5">
        <v>155</v>
      </c>
      <c r="E7" s="6">
        <v>111</v>
      </c>
      <c r="F7" s="6">
        <v>156</v>
      </c>
      <c r="G7" s="6">
        <v>305</v>
      </c>
      <c r="H7" s="6">
        <v>760</v>
      </c>
      <c r="I7" s="11">
        <f t="shared" si="0"/>
        <v>5941</v>
      </c>
    </row>
    <row r="8" spans="1:9" x14ac:dyDescent="0.25">
      <c r="A8" s="3" t="s">
        <v>12</v>
      </c>
      <c r="B8" s="4">
        <v>7153</v>
      </c>
      <c r="C8" s="4">
        <v>6418</v>
      </c>
      <c r="D8" s="5">
        <v>59</v>
      </c>
      <c r="E8" s="6">
        <v>23</v>
      </c>
      <c r="F8" s="6">
        <v>4</v>
      </c>
      <c r="G8" s="6">
        <v>77</v>
      </c>
      <c r="H8" s="6">
        <v>27</v>
      </c>
      <c r="I8" s="11">
        <f t="shared" si="0"/>
        <v>13761</v>
      </c>
    </row>
    <row r="9" spans="1:9" x14ac:dyDescent="0.25">
      <c r="A9" s="3" t="s">
        <v>13</v>
      </c>
      <c r="B9" s="4">
        <v>2529</v>
      </c>
      <c r="C9" s="4">
        <v>3733</v>
      </c>
      <c r="D9" s="5">
        <v>27</v>
      </c>
      <c r="E9" s="6">
        <v>9</v>
      </c>
      <c r="F9" s="6">
        <v>12</v>
      </c>
      <c r="G9" s="6">
        <v>5</v>
      </c>
      <c r="H9" s="6">
        <v>394</v>
      </c>
      <c r="I9" s="11">
        <f t="shared" si="0"/>
        <v>6709</v>
      </c>
    </row>
    <row r="10" spans="1:9" x14ac:dyDescent="0.25">
      <c r="A10" s="3" t="s">
        <v>14</v>
      </c>
      <c r="B10" s="4">
        <v>3602</v>
      </c>
      <c r="C10" s="4">
        <v>1013</v>
      </c>
      <c r="D10" s="5">
        <v>152</v>
      </c>
      <c r="E10" s="6">
        <v>112</v>
      </c>
      <c r="F10" s="6">
        <v>38</v>
      </c>
      <c r="G10" s="6">
        <v>75</v>
      </c>
      <c r="H10" s="6">
        <v>1223</v>
      </c>
      <c r="I10" s="11">
        <f t="shared" si="0"/>
        <v>6215</v>
      </c>
    </row>
    <row r="11" spans="1:9" x14ac:dyDescent="0.25">
      <c r="A11" s="3" t="s">
        <v>15</v>
      </c>
      <c r="B11" s="4">
        <v>4136</v>
      </c>
      <c r="C11" s="6">
        <v>644</v>
      </c>
      <c r="D11" s="5">
        <v>143</v>
      </c>
      <c r="E11" s="6">
        <v>42</v>
      </c>
      <c r="F11" s="6">
        <v>3</v>
      </c>
      <c r="G11" s="6">
        <v>148</v>
      </c>
      <c r="H11" s="6">
        <v>850</v>
      </c>
      <c r="I11" s="11">
        <f t="shared" si="0"/>
        <v>5966</v>
      </c>
    </row>
    <row r="12" spans="1:9" x14ac:dyDescent="0.25">
      <c r="A12" s="3" t="s">
        <v>16</v>
      </c>
      <c r="B12" s="4">
        <v>16274</v>
      </c>
      <c r="C12" s="4">
        <v>22404</v>
      </c>
      <c r="D12" s="5">
        <v>370</v>
      </c>
      <c r="E12" s="6">
        <v>206</v>
      </c>
      <c r="F12" s="6">
        <v>80</v>
      </c>
      <c r="G12" s="6">
        <v>112</v>
      </c>
      <c r="H12" s="6">
        <v>862</v>
      </c>
      <c r="I12" s="11">
        <f t="shared" si="0"/>
        <v>40308</v>
      </c>
    </row>
    <row r="13" spans="1:9" x14ac:dyDescent="0.25">
      <c r="A13" s="3" t="s">
        <v>17</v>
      </c>
      <c r="B13" s="4">
        <v>6671</v>
      </c>
      <c r="C13" s="4">
        <v>1816</v>
      </c>
      <c r="D13" s="5">
        <v>216</v>
      </c>
      <c r="E13" s="6">
        <v>97</v>
      </c>
      <c r="F13" s="6">
        <v>103</v>
      </c>
      <c r="G13" s="6">
        <v>131</v>
      </c>
      <c r="H13" s="6">
        <v>452</v>
      </c>
      <c r="I13" s="11">
        <f t="shared" si="0"/>
        <v>9486</v>
      </c>
    </row>
    <row r="14" spans="1:9" x14ac:dyDescent="0.25">
      <c r="A14" s="3" t="s">
        <v>18</v>
      </c>
      <c r="B14" s="4">
        <v>10248</v>
      </c>
      <c r="C14" s="4">
        <v>4731</v>
      </c>
      <c r="D14" s="5">
        <v>61</v>
      </c>
      <c r="E14" s="6">
        <v>25</v>
      </c>
      <c r="F14" s="6">
        <v>9</v>
      </c>
      <c r="G14" s="6">
        <v>60</v>
      </c>
      <c r="H14" s="6">
        <v>434</v>
      </c>
      <c r="I14" s="11">
        <f t="shared" si="0"/>
        <v>15568</v>
      </c>
    </row>
    <row r="15" spans="1:9" x14ac:dyDescent="0.25">
      <c r="A15" s="3" t="s">
        <v>19</v>
      </c>
      <c r="B15" s="4">
        <v>6004</v>
      </c>
      <c r="C15" s="4">
        <v>1777</v>
      </c>
      <c r="D15" s="5">
        <v>101</v>
      </c>
      <c r="E15" s="6">
        <v>99</v>
      </c>
      <c r="F15" s="6">
        <v>12</v>
      </c>
      <c r="G15" s="6">
        <v>56</v>
      </c>
      <c r="H15" s="6">
        <v>4</v>
      </c>
      <c r="I15" s="11">
        <f t="shared" si="0"/>
        <v>8053</v>
      </c>
    </row>
    <row r="16" spans="1:9" x14ac:dyDescent="0.25">
      <c r="A16" s="3" t="s">
        <v>20</v>
      </c>
      <c r="B16" s="4">
        <v>2967</v>
      </c>
      <c r="C16" s="4">
        <v>1608</v>
      </c>
      <c r="D16" s="5">
        <v>223</v>
      </c>
      <c r="E16" s="6">
        <v>35</v>
      </c>
      <c r="F16" s="6">
        <v>54</v>
      </c>
      <c r="G16" s="6">
        <v>180</v>
      </c>
      <c r="H16" s="6">
        <v>104</v>
      </c>
      <c r="I16" s="11">
        <f t="shared" si="0"/>
        <v>5171</v>
      </c>
    </row>
    <row r="17" spans="1:9" x14ac:dyDescent="0.25">
      <c r="A17" s="3" t="s">
        <v>21</v>
      </c>
      <c r="B17" s="4">
        <v>12625</v>
      </c>
      <c r="C17" s="4">
        <v>8124</v>
      </c>
      <c r="D17" s="5">
        <v>4</v>
      </c>
      <c r="E17" s="6">
        <v>3</v>
      </c>
      <c r="F17" s="6">
        <v>0</v>
      </c>
      <c r="G17" s="6">
        <v>5</v>
      </c>
      <c r="H17" s="6">
        <v>555</v>
      </c>
      <c r="I17" s="11">
        <f t="shared" si="0"/>
        <v>21316</v>
      </c>
    </row>
    <row r="18" spans="1:9" x14ac:dyDescent="0.25">
      <c r="A18" s="3" t="s">
        <v>22</v>
      </c>
      <c r="B18" s="4">
        <v>7245</v>
      </c>
      <c r="C18" s="4">
        <v>9193</v>
      </c>
      <c r="D18" s="5">
        <v>453</v>
      </c>
      <c r="E18" s="6">
        <v>160</v>
      </c>
      <c r="F18" s="6">
        <v>8</v>
      </c>
      <c r="G18" s="6">
        <v>143</v>
      </c>
      <c r="H18" s="6">
        <v>416</v>
      </c>
      <c r="I18" s="11">
        <f t="shared" si="0"/>
        <v>17618</v>
      </c>
    </row>
    <row r="19" spans="1:9" x14ac:dyDescent="0.25">
      <c r="A19" s="3" t="s">
        <v>23</v>
      </c>
      <c r="B19" s="4">
        <v>6924</v>
      </c>
      <c r="C19" s="4">
        <v>2698</v>
      </c>
      <c r="D19" s="5">
        <v>807</v>
      </c>
      <c r="E19" s="6">
        <v>633</v>
      </c>
      <c r="F19" s="6">
        <v>732</v>
      </c>
      <c r="G19" s="6">
        <v>1147</v>
      </c>
      <c r="H19" s="6">
        <v>284</v>
      </c>
      <c r="I19" s="11">
        <f t="shared" si="0"/>
        <v>13225</v>
      </c>
    </row>
    <row r="20" spans="1:9" x14ac:dyDescent="0.25">
      <c r="A20" s="3" t="s">
        <v>24</v>
      </c>
      <c r="B20" s="4">
        <v>1818</v>
      </c>
      <c r="C20" s="6">
        <v>393</v>
      </c>
      <c r="D20" s="5">
        <v>99</v>
      </c>
      <c r="E20" s="6">
        <v>47</v>
      </c>
      <c r="F20" s="6">
        <v>58</v>
      </c>
      <c r="G20" s="6">
        <v>10</v>
      </c>
      <c r="H20" s="6">
        <v>22</v>
      </c>
      <c r="I20" s="11">
        <f t="shared" si="0"/>
        <v>2447</v>
      </c>
    </row>
    <row r="21" spans="1:9" x14ac:dyDescent="0.25">
      <c r="A21" s="3" t="s">
        <v>25</v>
      </c>
      <c r="B21" s="4">
        <v>2549</v>
      </c>
      <c r="C21" s="4">
        <v>2247</v>
      </c>
      <c r="D21" s="5">
        <v>56</v>
      </c>
      <c r="E21" s="6">
        <v>50</v>
      </c>
      <c r="F21" s="6">
        <v>24</v>
      </c>
      <c r="G21" s="6">
        <v>141</v>
      </c>
      <c r="H21" s="6">
        <v>491</v>
      </c>
      <c r="I21" s="11">
        <f t="shared" si="0"/>
        <v>5558</v>
      </c>
    </row>
    <row r="22" spans="1:9" x14ac:dyDescent="0.25">
      <c r="A22" s="3" t="s">
        <v>26</v>
      </c>
      <c r="B22" s="4">
        <v>12049</v>
      </c>
      <c r="C22" s="4">
        <v>2337</v>
      </c>
      <c r="D22" s="5">
        <v>867</v>
      </c>
      <c r="E22" s="6">
        <v>135</v>
      </c>
      <c r="F22" s="6">
        <v>171</v>
      </c>
      <c r="G22" s="6">
        <v>198</v>
      </c>
      <c r="H22" s="6">
        <v>1180</v>
      </c>
      <c r="I22" s="11">
        <f t="shared" si="0"/>
        <v>16937</v>
      </c>
    </row>
    <row r="23" spans="1:9" x14ac:dyDescent="0.25">
      <c r="A23" s="3" t="s">
        <v>27</v>
      </c>
      <c r="B23" s="4">
        <v>3461</v>
      </c>
      <c r="C23" s="4">
        <v>3470</v>
      </c>
      <c r="D23" s="5">
        <v>211</v>
      </c>
      <c r="E23" s="6">
        <v>121</v>
      </c>
      <c r="F23" s="6">
        <v>78</v>
      </c>
      <c r="G23" s="6">
        <v>92</v>
      </c>
      <c r="H23" s="6">
        <v>202</v>
      </c>
      <c r="I23" s="11">
        <f t="shared" si="0"/>
        <v>7635</v>
      </c>
    </row>
    <row r="24" spans="1:9" x14ac:dyDescent="0.25">
      <c r="A24" s="3" t="s">
        <v>28</v>
      </c>
      <c r="B24" s="4">
        <v>6110</v>
      </c>
      <c r="C24" s="4">
        <v>5066</v>
      </c>
      <c r="D24" s="5">
        <v>391</v>
      </c>
      <c r="E24" s="6">
        <v>294</v>
      </c>
      <c r="F24" s="6">
        <v>25</v>
      </c>
      <c r="G24" s="6">
        <v>293</v>
      </c>
      <c r="H24" s="6">
        <v>186</v>
      </c>
      <c r="I24" s="11">
        <f t="shared" si="0"/>
        <v>12365</v>
      </c>
    </row>
    <row r="25" spans="1:9" x14ac:dyDescent="0.25">
      <c r="A25" s="3" t="s">
        <v>29</v>
      </c>
      <c r="B25" s="4">
        <v>12566</v>
      </c>
      <c r="C25" s="4">
        <v>5507</v>
      </c>
      <c r="D25" s="5">
        <v>7</v>
      </c>
      <c r="E25" s="6">
        <v>5</v>
      </c>
      <c r="F25" s="6">
        <v>10</v>
      </c>
      <c r="G25" s="6">
        <v>13</v>
      </c>
      <c r="H25" s="6">
        <v>127</v>
      </c>
      <c r="I25" s="11">
        <f t="shared" si="0"/>
        <v>18235</v>
      </c>
    </row>
    <row r="26" spans="1:9" x14ac:dyDescent="0.25">
      <c r="A26" s="3" t="s">
        <v>30</v>
      </c>
      <c r="B26" s="4">
        <v>44555</v>
      </c>
      <c r="C26" s="4">
        <v>22100</v>
      </c>
      <c r="D26" s="5">
        <v>686</v>
      </c>
      <c r="E26" s="6">
        <v>225</v>
      </c>
      <c r="F26" s="6">
        <v>1003</v>
      </c>
      <c r="G26" s="6">
        <v>37</v>
      </c>
      <c r="H26" s="6">
        <v>45</v>
      </c>
      <c r="I26" s="11">
        <f t="shared" si="0"/>
        <v>68651</v>
      </c>
    </row>
    <row r="27" spans="1:9" x14ac:dyDescent="0.25">
      <c r="A27" s="3" t="s">
        <v>31</v>
      </c>
      <c r="B27" s="4">
        <v>7266</v>
      </c>
      <c r="C27" s="4">
        <v>13941</v>
      </c>
      <c r="D27" s="5">
        <v>60</v>
      </c>
      <c r="E27" s="6">
        <v>13</v>
      </c>
      <c r="F27" s="6">
        <v>31</v>
      </c>
      <c r="G27" s="6">
        <v>10</v>
      </c>
      <c r="H27" s="6">
        <v>310</v>
      </c>
      <c r="I27" s="11">
        <f t="shared" si="0"/>
        <v>21631</v>
      </c>
    </row>
    <row r="28" spans="1:9" x14ac:dyDescent="0.25">
      <c r="A28" s="3" t="s">
        <v>32</v>
      </c>
      <c r="B28" s="4">
        <v>40421</v>
      </c>
      <c r="C28" s="4">
        <v>14189</v>
      </c>
      <c r="D28" s="5">
        <v>11851</v>
      </c>
      <c r="E28" s="6">
        <v>153</v>
      </c>
      <c r="F28" s="6">
        <v>819</v>
      </c>
      <c r="G28" s="6">
        <v>194</v>
      </c>
      <c r="H28" s="6">
        <v>38</v>
      </c>
      <c r="I28" s="11">
        <f t="shared" si="0"/>
        <v>67665</v>
      </c>
    </row>
    <row r="29" spans="1:9" x14ac:dyDescent="0.25">
      <c r="A29" s="3" t="s">
        <v>33</v>
      </c>
      <c r="B29" s="4">
        <v>7583</v>
      </c>
      <c r="C29" s="4">
        <v>3541</v>
      </c>
      <c r="D29" s="5">
        <v>564</v>
      </c>
      <c r="E29" s="6">
        <v>323</v>
      </c>
      <c r="F29" s="6">
        <v>73</v>
      </c>
      <c r="G29" s="6">
        <v>318</v>
      </c>
      <c r="H29" s="6">
        <v>331</v>
      </c>
      <c r="I29" s="11">
        <f t="shared" si="0"/>
        <v>12733</v>
      </c>
    </row>
    <row r="30" spans="1:9" x14ac:dyDescent="0.25">
      <c r="A30" s="3" t="s">
        <v>34</v>
      </c>
      <c r="B30" s="4">
        <v>12138</v>
      </c>
      <c r="C30" s="4">
        <v>4589</v>
      </c>
      <c r="D30" s="5">
        <v>85</v>
      </c>
      <c r="E30" s="6">
        <v>10</v>
      </c>
      <c r="F30" s="6">
        <v>0</v>
      </c>
      <c r="G30" s="6">
        <v>191</v>
      </c>
      <c r="H30" s="6">
        <v>46</v>
      </c>
      <c r="I30" s="11">
        <f t="shared" si="0"/>
        <v>17059</v>
      </c>
    </row>
    <row r="31" spans="1:9" x14ac:dyDescent="0.25">
      <c r="A31" s="3" t="s">
        <v>35</v>
      </c>
      <c r="B31" s="4">
        <v>4996</v>
      </c>
      <c r="C31" s="4">
        <v>12485</v>
      </c>
      <c r="D31" s="5">
        <v>900</v>
      </c>
      <c r="E31" s="6">
        <v>545</v>
      </c>
      <c r="F31" s="6">
        <v>261</v>
      </c>
      <c r="G31" s="6">
        <v>437</v>
      </c>
      <c r="H31" s="6">
        <v>1002</v>
      </c>
      <c r="I31" s="11">
        <f t="shared" si="0"/>
        <v>20626</v>
      </c>
    </row>
    <row r="32" spans="1:9" x14ac:dyDescent="0.25">
      <c r="A32" s="3" t="s">
        <v>36</v>
      </c>
      <c r="B32" s="4">
        <v>4068</v>
      </c>
      <c r="C32" s="4">
        <v>1663</v>
      </c>
      <c r="D32" s="5">
        <v>200</v>
      </c>
      <c r="E32" s="6">
        <v>53</v>
      </c>
      <c r="F32" s="6">
        <v>45</v>
      </c>
      <c r="G32" s="6">
        <v>78</v>
      </c>
      <c r="H32" s="6">
        <v>14</v>
      </c>
      <c r="I32" s="11">
        <f t="shared" si="0"/>
        <v>6121</v>
      </c>
    </row>
    <row r="33" spans="1:9" ht="15.75" thickBot="1" x14ac:dyDescent="0.3">
      <c r="A33" s="7" t="s">
        <v>39</v>
      </c>
      <c r="B33" s="8">
        <f t="shared" ref="B33:C33" si="1">SUM(B2:B32)</f>
        <v>290821</v>
      </c>
      <c r="C33" s="8">
        <f t="shared" si="1"/>
        <v>202067</v>
      </c>
      <c r="D33" s="8">
        <f>SUM(D2:D32)</f>
        <v>21019</v>
      </c>
      <c r="E33" s="8">
        <f t="shared" ref="E33:I33" si="2">SUM(E2:E32)</f>
        <v>4149</v>
      </c>
      <c r="F33" s="8">
        <f t="shared" si="2"/>
        <v>4261</v>
      </c>
      <c r="G33" s="8">
        <f t="shared" si="2"/>
        <v>5319</v>
      </c>
      <c r="H33" s="8">
        <f t="shared" si="2"/>
        <v>11947</v>
      </c>
      <c r="I33" s="9">
        <f t="shared" si="2"/>
        <v>539583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6AA51-96EF-4C85-A714-C31ABBCB26AB}">
  <dimension ref="A1:I33"/>
  <sheetViews>
    <sheetView rightToLeft="1" workbookViewId="0">
      <selection activeCell="B2" sqref="B2:H32"/>
    </sheetView>
  </sheetViews>
  <sheetFormatPr defaultRowHeight="15" x14ac:dyDescent="0.25"/>
  <cols>
    <col min="1" max="1" width="15.85546875" bestFit="1" customWidth="1"/>
    <col min="3" max="4" width="9.28515625" bestFit="1" customWidth="1"/>
    <col min="5" max="5" width="9.85546875" bestFit="1" customWidth="1"/>
    <col min="6" max="6" width="11" bestFit="1" customWidth="1"/>
    <col min="7" max="7" width="11.5703125" bestFit="1" customWidth="1"/>
  </cols>
  <sheetData>
    <row r="1" spans="1:9" x14ac:dyDescent="0.25">
      <c r="A1" s="1" t="s">
        <v>0</v>
      </c>
      <c r="B1" s="2" t="s">
        <v>1</v>
      </c>
      <c r="C1" s="2" t="s">
        <v>37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38</v>
      </c>
      <c r="I1" s="10" t="s">
        <v>40</v>
      </c>
    </row>
    <row r="2" spans="1:9" x14ac:dyDescent="0.25">
      <c r="A2" s="3" t="s">
        <v>6</v>
      </c>
      <c r="B2" s="4">
        <v>14785</v>
      </c>
      <c r="C2" s="4">
        <v>9995</v>
      </c>
      <c r="D2" s="5">
        <v>398</v>
      </c>
      <c r="E2" s="6">
        <v>146</v>
      </c>
      <c r="F2" s="6">
        <v>90</v>
      </c>
      <c r="G2" s="6">
        <v>159</v>
      </c>
      <c r="H2" s="6">
        <v>12</v>
      </c>
      <c r="I2" s="11">
        <f>SUM(B2:H2)</f>
        <v>25585</v>
      </c>
    </row>
    <row r="3" spans="1:9" x14ac:dyDescent="0.25">
      <c r="A3" s="3" t="s">
        <v>7</v>
      </c>
      <c r="B3" s="4">
        <v>8261</v>
      </c>
      <c r="C3" s="4">
        <v>23562</v>
      </c>
      <c r="D3" s="5">
        <v>238</v>
      </c>
      <c r="E3" s="6">
        <v>91</v>
      </c>
      <c r="F3" s="6">
        <v>63</v>
      </c>
      <c r="G3" s="6">
        <v>76</v>
      </c>
      <c r="H3" s="6">
        <v>1817</v>
      </c>
      <c r="I3" s="11">
        <f t="shared" ref="I3:I32" si="0">SUM(B3:H3)</f>
        <v>34108</v>
      </c>
    </row>
    <row r="4" spans="1:9" x14ac:dyDescent="0.25">
      <c r="A4" s="3" t="s">
        <v>8</v>
      </c>
      <c r="B4" s="4">
        <v>6434</v>
      </c>
      <c r="C4" s="4">
        <v>4728</v>
      </c>
      <c r="D4" s="5">
        <v>395</v>
      </c>
      <c r="E4" s="6">
        <v>99</v>
      </c>
      <c r="F4" s="6">
        <v>27</v>
      </c>
      <c r="G4" s="6">
        <v>113</v>
      </c>
      <c r="H4" s="6">
        <v>1176</v>
      </c>
      <c r="I4" s="11">
        <f t="shared" si="0"/>
        <v>12972</v>
      </c>
    </row>
    <row r="5" spans="1:9" x14ac:dyDescent="0.25">
      <c r="A5" s="3" t="s">
        <v>9</v>
      </c>
      <c r="B5" s="4">
        <v>8872</v>
      </c>
      <c r="C5" s="4">
        <v>2309</v>
      </c>
      <c r="D5" s="5">
        <v>771</v>
      </c>
      <c r="E5" s="6">
        <v>332</v>
      </c>
      <c r="F5" s="6">
        <v>57</v>
      </c>
      <c r="G5" s="6">
        <v>248</v>
      </c>
      <c r="H5" s="6">
        <v>155</v>
      </c>
      <c r="I5" s="11">
        <f t="shared" si="0"/>
        <v>12744</v>
      </c>
    </row>
    <row r="6" spans="1:9" x14ac:dyDescent="0.25">
      <c r="A6" s="3" t="s">
        <v>10</v>
      </c>
      <c r="B6" s="4">
        <v>1136</v>
      </c>
      <c r="C6" s="4">
        <v>1943</v>
      </c>
      <c r="D6" s="5">
        <v>100</v>
      </c>
      <c r="E6" s="6">
        <v>22</v>
      </c>
      <c r="F6" s="6">
        <v>99</v>
      </c>
      <c r="G6" s="6">
        <v>18</v>
      </c>
      <c r="H6" s="6">
        <v>164</v>
      </c>
      <c r="I6" s="11">
        <f t="shared" si="0"/>
        <v>3482</v>
      </c>
    </row>
    <row r="7" spans="1:9" x14ac:dyDescent="0.25">
      <c r="A7" s="3" t="s">
        <v>11</v>
      </c>
      <c r="B7" s="4">
        <v>2750</v>
      </c>
      <c r="C7" s="4">
        <v>1618</v>
      </c>
      <c r="D7" s="5">
        <v>145</v>
      </c>
      <c r="E7" s="6">
        <v>170</v>
      </c>
      <c r="F7" s="6">
        <v>139</v>
      </c>
      <c r="G7" s="6">
        <v>294</v>
      </c>
      <c r="H7" s="6">
        <v>933</v>
      </c>
      <c r="I7" s="11">
        <f t="shared" si="0"/>
        <v>6049</v>
      </c>
    </row>
    <row r="8" spans="1:9" x14ac:dyDescent="0.25">
      <c r="A8" s="3" t="s">
        <v>12</v>
      </c>
      <c r="B8" s="4">
        <v>7576</v>
      </c>
      <c r="C8" s="4">
        <v>6709</v>
      </c>
      <c r="D8" s="5">
        <v>98</v>
      </c>
      <c r="E8" s="6">
        <v>33</v>
      </c>
      <c r="F8" s="6">
        <v>4</v>
      </c>
      <c r="G8" s="6">
        <v>113</v>
      </c>
      <c r="H8" s="6">
        <v>68</v>
      </c>
      <c r="I8" s="11">
        <f t="shared" si="0"/>
        <v>14601</v>
      </c>
    </row>
    <row r="9" spans="1:9" x14ac:dyDescent="0.25">
      <c r="A9" s="3" t="s">
        <v>13</v>
      </c>
      <c r="B9" s="4">
        <v>1738</v>
      </c>
      <c r="C9" s="4">
        <v>5783</v>
      </c>
      <c r="D9" s="5">
        <v>16</v>
      </c>
      <c r="E9" s="6">
        <v>2</v>
      </c>
      <c r="F9" s="6">
        <v>9</v>
      </c>
      <c r="G9" s="6">
        <v>1</v>
      </c>
      <c r="H9" s="6">
        <v>265</v>
      </c>
      <c r="I9" s="11">
        <f t="shared" si="0"/>
        <v>7814</v>
      </c>
    </row>
    <row r="10" spans="1:9" x14ac:dyDescent="0.25">
      <c r="A10" s="3" t="s">
        <v>14</v>
      </c>
      <c r="B10" s="4">
        <v>3136</v>
      </c>
      <c r="C10" s="4">
        <v>890</v>
      </c>
      <c r="D10" s="5">
        <v>72</v>
      </c>
      <c r="E10" s="6">
        <v>79</v>
      </c>
      <c r="F10" s="6">
        <v>29</v>
      </c>
      <c r="G10" s="6">
        <v>46</v>
      </c>
      <c r="H10" s="6">
        <v>1216</v>
      </c>
      <c r="I10" s="11">
        <f t="shared" si="0"/>
        <v>5468</v>
      </c>
    </row>
    <row r="11" spans="1:9" x14ac:dyDescent="0.25">
      <c r="A11" s="3" t="s">
        <v>15</v>
      </c>
      <c r="B11" s="4">
        <v>3779</v>
      </c>
      <c r="C11" s="6">
        <v>834</v>
      </c>
      <c r="D11" s="5">
        <v>101</v>
      </c>
      <c r="E11" s="6">
        <v>32</v>
      </c>
      <c r="F11" s="6">
        <v>9</v>
      </c>
      <c r="G11" s="6">
        <v>98</v>
      </c>
      <c r="H11" s="6">
        <v>638</v>
      </c>
      <c r="I11" s="11">
        <f t="shared" si="0"/>
        <v>5491</v>
      </c>
    </row>
    <row r="12" spans="1:9" x14ac:dyDescent="0.25">
      <c r="A12" s="3" t="s">
        <v>16</v>
      </c>
      <c r="B12" s="4">
        <v>18648</v>
      </c>
      <c r="C12" s="4">
        <v>20817</v>
      </c>
      <c r="D12" s="5">
        <v>402</v>
      </c>
      <c r="E12" s="6">
        <v>206</v>
      </c>
      <c r="F12" s="6">
        <v>90</v>
      </c>
      <c r="G12" s="6">
        <v>64</v>
      </c>
      <c r="H12" s="6">
        <v>817</v>
      </c>
      <c r="I12" s="11">
        <f t="shared" si="0"/>
        <v>41044</v>
      </c>
    </row>
    <row r="13" spans="1:9" x14ac:dyDescent="0.25">
      <c r="A13" s="3" t="s">
        <v>17</v>
      </c>
      <c r="B13" s="4">
        <v>5067</v>
      </c>
      <c r="C13" s="4">
        <v>1831</v>
      </c>
      <c r="D13" s="5">
        <v>279</v>
      </c>
      <c r="E13" s="6">
        <v>129</v>
      </c>
      <c r="F13" s="6">
        <v>78</v>
      </c>
      <c r="G13" s="6">
        <v>115</v>
      </c>
      <c r="H13" s="6">
        <v>375</v>
      </c>
      <c r="I13" s="11">
        <f t="shared" si="0"/>
        <v>7874</v>
      </c>
    </row>
    <row r="14" spans="1:9" x14ac:dyDescent="0.25">
      <c r="A14" s="3" t="s">
        <v>18</v>
      </c>
      <c r="B14" s="4">
        <v>10679</v>
      </c>
      <c r="C14" s="4">
        <v>4998</v>
      </c>
      <c r="D14" s="5">
        <v>69</v>
      </c>
      <c r="E14" s="6">
        <v>34</v>
      </c>
      <c r="F14" s="6">
        <v>2</v>
      </c>
      <c r="G14" s="6">
        <v>98</v>
      </c>
      <c r="H14" s="6">
        <v>361</v>
      </c>
      <c r="I14" s="11">
        <f t="shared" si="0"/>
        <v>16241</v>
      </c>
    </row>
    <row r="15" spans="1:9" x14ac:dyDescent="0.25">
      <c r="A15" s="3" t="s">
        <v>19</v>
      </c>
      <c r="B15" s="4">
        <v>6027</v>
      </c>
      <c r="C15" s="4">
        <v>1727</v>
      </c>
      <c r="D15" s="5">
        <v>88</v>
      </c>
      <c r="E15" s="6">
        <v>116</v>
      </c>
      <c r="F15" s="6">
        <v>18</v>
      </c>
      <c r="G15" s="6">
        <v>32</v>
      </c>
      <c r="H15" s="6">
        <v>17</v>
      </c>
      <c r="I15" s="11">
        <f t="shared" si="0"/>
        <v>8025</v>
      </c>
    </row>
    <row r="16" spans="1:9" x14ac:dyDescent="0.25">
      <c r="A16" s="3" t="s">
        <v>20</v>
      </c>
      <c r="B16" s="4">
        <v>2284</v>
      </c>
      <c r="C16" s="4">
        <v>1362</v>
      </c>
      <c r="D16" s="5">
        <v>220</v>
      </c>
      <c r="E16" s="6">
        <v>56</v>
      </c>
      <c r="F16" s="6">
        <v>78</v>
      </c>
      <c r="G16" s="6">
        <v>131</v>
      </c>
      <c r="H16" s="6">
        <v>103</v>
      </c>
      <c r="I16" s="11">
        <f t="shared" si="0"/>
        <v>4234</v>
      </c>
    </row>
    <row r="17" spans="1:9" x14ac:dyDescent="0.25">
      <c r="A17" s="3" t="s">
        <v>21</v>
      </c>
      <c r="B17" s="4">
        <v>9157</v>
      </c>
      <c r="C17" s="4">
        <v>7997</v>
      </c>
      <c r="D17" s="5">
        <v>3</v>
      </c>
      <c r="E17" s="6">
        <v>2</v>
      </c>
      <c r="F17" s="6">
        <v>0</v>
      </c>
      <c r="G17" s="6">
        <v>5</v>
      </c>
      <c r="H17" s="6">
        <v>513</v>
      </c>
      <c r="I17" s="11">
        <f t="shared" si="0"/>
        <v>17677</v>
      </c>
    </row>
    <row r="18" spans="1:9" x14ac:dyDescent="0.25">
      <c r="A18" s="3" t="s">
        <v>22</v>
      </c>
      <c r="B18" s="4">
        <v>6227</v>
      </c>
      <c r="C18" s="4">
        <v>7589</v>
      </c>
      <c r="D18" s="5">
        <v>440</v>
      </c>
      <c r="E18" s="6">
        <v>153</v>
      </c>
      <c r="F18" s="6">
        <v>4</v>
      </c>
      <c r="G18" s="6">
        <v>139</v>
      </c>
      <c r="H18" s="6">
        <v>558</v>
      </c>
      <c r="I18" s="11">
        <f t="shared" si="0"/>
        <v>15110</v>
      </c>
    </row>
    <row r="19" spans="1:9" x14ac:dyDescent="0.25">
      <c r="A19" s="3" t="s">
        <v>23</v>
      </c>
      <c r="B19" s="4">
        <v>7075</v>
      </c>
      <c r="C19" s="4">
        <v>1749</v>
      </c>
      <c r="D19" s="5">
        <v>680</v>
      </c>
      <c r="E19" s="6">
        <v>831</v>
      </c>
      <c r="F19" s="6">
        <v>777</v>
      </c>
      <c r="G19" s="6">
        <v>1295</v>
      </c>
      <c r="H19" s="6">
        <v>270</v>
      </c>
      <c r="I19" s="11">
        <f t="shared" si="0"/>
        <v>12677</v>
      </c>
    </row>
    <row r="20" spans="1:9" x14ac:dyDescent="0.25">
      <c r="A20" s="3" t="s">
        <v>24</v>
      </c>
      <c r="B20" s="4">
        <v>1154</v>
      </c>
      <c r="C20" s="6">
        <v>367</v>
      </c>
      <c r="D20" s="5">
        <v>109</v>
      </c>
      <c r="E20" s="6">
        <v>35</v>
      </c>
      <c r="F20" s="6">
        <v>56</v>
      </c>
      <c r="G20" s="6">
        <v>9</v>
      </c>
      <c r="H20" s="6">
        <v>93</v>
      </c>
      <c r="I20" s="11">
        <f t="shared" si="0"/>
        <v>1823</v>
      </c>
    </row>
    <row r="21" spans="1:9" x14ac:dyDescent="0.25">
      <c r="A21" s="3" t="s">
        <v>25</v>
      </c>
      <c r="B21" s="4">
        <v>2245</v>
      </c>
      <c r="C21" s="4">
        <v>1773</v>
      </c>
      <c r="D21" s="5">
        <v>46</v>
      </c>
      <c r="E21" s="6">
        <v>24</v>
      </c>
      <c r="F21" s="6">
        <v>28</v>
      </c>
      <c r="G21" s="6">
        <v>87</v>
      </c>
      <c r="H21" s="6">
        <v>555</v>
      </c>
      <c r="I21" s="11">
        <f t="shared" si="0"/>
        <v>4758</v>
      </c>
    </row>
    <row r="22" spans="1:9" x14ac:dyDescent="0.25">
      <c r="A22" s="3" t="s">
        <v>26</v>
      </c>
      <c r="B22" s="4">
        <v>10502</v>
      </c>
      <c r="C22" s="4">
        <v>2585</v>
      </c>
      <c r="D22" s="5">
        <v>608</v>
      </c>
      <c r="E22" s="6">
        <v>99</v>
      </c>
      <c r="F22" s="6">
        <v>104</v>
      </c>
      <c r="G22" s="6">
        <v>74</v>
      </c>
      <c r="H22" s="6">
        <v>1335</v>
      </c>
      <c r="I22" s="11">
        <f t="shared" si="0"/>
        <v>15307</v>
      </c>
    </row>
    <row r="23" spans="1:9" x14ac:dyDescent="0.25">
      <c r="A23" s="3" t="s">
        <v>27</v>
      </c>
      <c r="B23" s="4">
        <v>3466</v>
      </c>
      <c r="C23" s="4">
        <v>3229</v>
      </c>
      <c r="D23" s="5">
        <v>194</v>
      </c>
      <c r="E23" s="6">
        <v>100</v>
      </c>
      <c r="F23" s="6">
        <v>59</v>
      </c>
      <c r="G23" s="6">
        <v>49</v>
      </c>
      <c r="H23" s="6">
        <v>235</v>
      </c>
      <c r="I23" s="11">
        <f t="shared" si="0"/>
        <v>7332</v>
      </c>
    </row>
    <row r="24" spans="1:9" x14ac:dyDescent="0.25">
      <c r="A24" s="3" t="s">
        <v>28</v>
      </c>
      <c r="B24" s="4">
        <v>4950</v>
      </c>
      <c r="C24" s="4">
        <v>4607</v>
      </c>
      <c r="D24" s="5">
        <v>314</v>
      </c>
      <c r="E24" s="6">
        <v>205</v>
      </c>
      <c r="F24" s="6">
        <v>38</v>
      </c>
      <c r="G24" s="6">
        <v>99</v>
      </c>
      <c r="H24" s="6">
        <v>220</v>
      </c>
      <c r="I24" s="11">
        <f t="shared" si="0"/>
        <v>10433</v>
      </c>
    </row>
    <row r="25" spans="1:9" x14ac:dyDescent="0.25">
      <c r="A25" s="3" t="s">
        <v>29</v>
      </c>
      <c r="B25" s="4">
        <v>11019</v>
      </c>
      <c r="C25" s="4">
        <v>5485</v>
      </c>
      <c r="D25" s="5">
        <v>13</v>
      </c>
      <c r="E25" s="6">
        <v>13</v>
      </c>
      <c r="F25" s="6">
        <v>5</v>
      </c>
      <c r="G25" s="6">
        <v>19</v>
      </c>
      <c r="H25" s="6">
        <v>97</v>
      </c>
      <c r="I25" s="11">
        <f t="shared" si="0"/>
        <v>16651</v>
      </c>
    </row>
    <row r="26" spans="1:9" x14ac:dyDescent="0.25">
      <c r="A26" s="3" t="s">
        <v>30</v>
      </c>
      <c r="B26" s="4">
        <v>30540</v>
      </c>
      <c r="C26" s="4">
        <v>28352</v>
      </c>
      <c r="D26" s="5">
        <v>330</v>
      </c>
      <c r="E26" s="6">
        <v>421</v>
      </c>
      <c r="F26" s="6">
        <v>1557</v>
      </c>
      <c r="G26" s="6">
        <v>111</v>
      </c>
      <c r="H26" s="6">
        <v>38</v>
      </c>
      <c r="I26" s="11">
        <f t="shared" si="0"/>
        <v>61349</v>
      </c>
    </row>
    <row r="27" spans="1:9" x14ac:dyDescent="0.25">
      <c r="A27" s="3" t="s">
        <v>31</v>
      </c>
      <c r="B27" s="4">
        <v>6375</v>
      </c>
      <c r="C27" s="4">
        <v>13870</v>
      </c>
      <c r="D27" s="5">
        <v>91</v>
      </c>
      <c r="E27" s="6">
        <v>21</v>
      </c>
      <c r="F27" s="6">
        <v>42</v>
      </c>
      <c r="G27" s="6">
        <v>13</v>
      </c>
      <c r="H27" s="6">
        <v>770</v>
      </c>
      <c r="I27" s="11">
        <f t="shared" si="0"/>
        <v>21182</v>
      </c>
    </row>
    <row r="28" spans="1:9" x14ac:dyDescent="0.25">
      <c r="A28" s="3" t="s">
        <v>32</v>
      </c>
      <c r="B28" s="4">
        <v>38691</v>
      </c>
      <c r="C28" s="4">
        <v>18402</v>
      </c>
      <c r="D28" s="5">
        <v>11079</v>
      </c>
      <c r="E28" s="6">
        <v>304</v>
      </c>
      <c r="F28" s="6">
        <v>1456</v>
      </c>
      <c r="G28" s="6">
        <v>220</v>
      </c>
      <c r="H28" s="6">
        <v>46</v>
      </c>
      <c r="I28" s="11">
        <f t="shared" si="0"/>
        <v>70198</v>
      </c>
    </row>
    <row r="29" spans="1:9" x14ac:dyDescent="0.25">
      <c r="A29" s="3" t="s">
        <v>33</v>
      </c>
      <c r="B29" s="4">
        <v>6280</v>
      </c>
      <c r="C29" s="4">
        <v>3551</v>
      </c>
      <c r="D29" s="5">
        <v>611</v>
      </c>
      <c r="E29" s="6">
        <v>319</v>
      </c>
      <c r="F29" s="6">
        <v>96</v>
      </c>
      <c r="G29" s="6">
        <v>320</v>
      </c>
      <c r="H29" s="6">
        <v>237</v>
      </c>
      <c r="I29" s="11">
        <f t="shared" si="0"/>
        <v>11414</v>
      </c>
    </row>
    <row r="30" spans="1:9" x14ac:dyDescent="0.25">
      <c r="A30" s="3" t="s">
        <v>34</v>
      </c>
      <c r="B30" s="4">
        <v>10618</v>
      </c>
      <c r="C30" s="4">
        <v>5603</v>
      </c>
      <c r="D30" s="5">
        <v>108</v>
      </c>
      <c r="E30" s="6">
        <v>43</v>
      </c>
      <c r="F30" s="6">
        <v>0</v>
      </c>
      <c r="G30" s="6">
        <v>115</v>
      </c>
      <c r="H30" s="6">
        <v>63</v>
      </c>
      <c r="I30" s="11">
        <f t="shared" si="0"/>
        <v>16550</v>
      </c>
    </row>
    <row r="31" spans="1:9" x14ac:dyDescent="0.25">
      <c r="A31" s="3" t="s">
        <v>35</v>
      </c>
      <c r="B31" s="4">
        <v>5206</v>
      </c>
      <c r="C31" s="4">
        <v>10716</v>
      </c>
      <c r="D31" s="5">
        <v>1008</v>
      </c>
      <c r="E31" s="6">
        <v>767</v>
      </c>
      <c r="F31" s="6">
        <v>350</v>
      </c>
      <c r="G31" s="6">
        <v>389</v>
      </c>
      <c r="H31" s="6">
        <v>1188</v>
      </c>
      <c r="I31" s="11">
        <f t="shared" si="0"/>
        <v>19624</v>
      </c>
    </row>
    <row r="32" spans="1:9" x14ac:dyDescent="0.25">
      <c r="A32" s="3" t="s">
        <v>36</v>
      </c>
      <c r="B32" s="4">
        <v>4738</v>
      </c>
      <c r="C32" s="4">
        <v>2107</v>
      </c>
      <c r="D32" s="5">
        <v>191</v>
      </c>
      <c r="E32" s="6">
        <v>69</v>
      </c>
      <c r="F32" s="6">
        <v>55</v>
      </c>
      <c r="G32" s="6">
        <v>72</v>
      </c>
      <c r="H32" s="6">
        <v>16</v>
      </c>
      <c r="I32" s="11">
        <f t="shared" si="0"/>
        <v>7248</v>
      </c>
    </row>
    <row r="33" spans="1:9" ht="15.75" thickBot="1" x14ac:dyDescent="0.3">
      <c r="A33" s="7" t="s">
        <v>39</v>
      </c>
      <c r="B33" s="8">
        <f t="shared" ref="B33:C33" si="1">SUM(B2:B32)</f>
        <v>259415</v>
      </c>
      <c r="C33" s="8">
        <f t="shared" si="1"/>
        <v>207088</v>
      </c>
      <c r="D33" s="8">
        <f>SUM(D2:D32)</f>
        <v>19217</v>
      </c>
      <c r="E33" s="8">
        <f t="shared" ref="E33:I33" si="2">SUM(E2:E32)</f>
        <v>4953</v>
      </c>
      <c r="F33" s="8">
        <f t="shared" si="2"/>
        <v>5419</v>
      </c>
      <c r="G33" s="8">
        <f t="shared" si="2"/>
        <v>4622</v>
      </c>
      <c r="H33" s="8">
        <f t="shared" si="2"/>
        <v>14351</v>
      </c>
      <c r="I33" s="9">
        <f t="shared" si="2"/>
        <v>515065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6E84C-1269-4D62-A878-0220F3D967A5}">
  <dimension ref="A1:I33"/>
  <sheetViews>
    <sheetView rightToLeft="1" workbookViewId="0">
      <selection activeCell="H2" sqref="H2"/>
    </sheetView>
  </sheetViews>
  <sheetFormatPr defaultRowHeight="15" x14ac:dyDescent="0.25"/>
  <cols>
    <col min="1" max="1" width="15.85546875" bestFit="1" customWidth="1"/>
    <col min="3" max="3" width="11" bestFit="1" customWidth="1"/>
    <col min="4" max="4" width="9.28515625" bestFit="1" customWidth="1"/>
    <col min="5" max="5" width="9.85546875" bestFit="1" customWidth="1"/>
    <col min="6" max="6" width="11" bestFit="1" customWidth="1"/>
    <col min="7" max="7" width="11.5703125" bestFit="1" customWidth="1"/>
  </cols>
  <sheetData>
    <row r="1" spans="1:9" x14ac:dyDescent="0.25">
      <c r="A1" s="1" t="s">
        <v>0</v>
      </c>
      <c r="B1" s="2" t="s">
        <v>1</v>
      </c>
      <c r="C1" s="2" t="s">
        <v>37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38</v>
      </c>
      <c r="I1" s="10" t="s">
        <v>40</v>
      </c>
    </row>
    <row r="2" spans="1:9" x14ac:dyDescent="0.25">
      <c r="A2" s="3" t="s">
        <v>6</v>
      </c>
      <c r="B2" s="4">
        <v>13012</v>
      </c>
      <c r="C2" s="4">
        <v>9919</v>
      </c>
      <c r="D2" s="5">
        <v>286</v>
      </c>
      <c r="E2" s="6">
        <v>112</v>
      </c>
      <c r="F2" s="6">
        <v>57</v>
      </c>
      <c r="G2" s="6">
        <v>119</v>
      </c>
      <c r="H2" s="6">
        <v>13</v>
      </c>
      <c r="I2" s="11">
        <f>SUM(B2:H2)</f>
        <v>23518</v>
      </c>
    </row>
    <row r="3" spans="1:9" x14ac:dyDescent="0.25">
      <c r="A3" s="3" t="s">
        <v>7</v>
      </c>
      <c r="B3" s="4">
        <v>7087</v>
      </c>
      <c r="C3" s="4">
        <v>27064</v>
      </c>
      <c r="D3" s="5">
        <v>278</v>
      </c>
      <c r="E3" s="6">
        <v>168</v>
      </c>
      <c r="F3" s="6">
        <v>236</v>
      </c>
      <c r="G3" s="6">
        <v>132</v>
      </c>
      <c r="H3" s="6">
        <v>1783</v>
      </c>
      <c r="I3" s="11">
        <f t="shared" ref="I3:I32" si="0">SUM(B3:H3)</f>
        <v>36748</v>
      </c>
    </row>
    <row r="4" spans="1:9" x14ac:dyDescent="0.25">
      <c r="A4" s="3" t="s">
        <v>8</v>
      </c>
      <c r="B4" s="4">
        <v>5561</v>
      </c>
      <c r="C4" s="4">
        <v>4129</v>
      </c>
      <c r="D4" s="5">
        <v>17</v>
      </c>
      <c r="E4" s="6">
        <v>20</v>
      </c>
      <c r="F4" s="6">
        <v>0</v>
      </c>
      <c r="G4" s="6">
        <v>12</v>
      </c>
      <c r="H4" s="6">
        <v>1155</v>
      </c>
      <c r="I4" s="11">
        <f t="shared" si="0"/>
        <v>10894</v>
      </c>
    </row>
    <row r="5" spans="1:9" x14ac:dyDescent="0.25">
      <c r="A5" s="3" t="s">
        <v>9</v>
      </c>
      <c r="B5" s="4">
        <v>5895</v>
      </c>
      <c r="C5" s="4">
        <v>1707</v>
      </c>
      <c r="D5" s="5">
        <v>716</v>
      </c>
      <c r="E5" s="6">
        <v>324</v>
      </c>
      <c r="F5" s="6">
        <v>49</v>
      </c>
      <c r="G5" s="6">
        <v>232</v>
      </c>
      <c r="H5" s="6">
        <v>256</v>
      </c>
      <c r="I5" s="11">
        <f t="shared" si="0"/>
        <v>9179</v>
      </c>
    </row>
    <row r="6" spans="1:9" x14ac:dyDescent="0.25">
      <c r="A6" s="3" t="s">
        <v>10</v>
      </c>
      <c r="B6" s="4">
        <v>1042</v>
      </c>
      <c r="C6" s="4">
        <v>1768</v>
      </c>
      <c r="D6" s="5">
        <v>70</v>
      </c>
      <c r="E6" s="6">
        <v>17</v>
      </c>
      <c r="F6" s="6">
        <v>96</v>
      </c>
      <c r="G6" s="6">
        <v>106</v>
      </c>
      <c r="H6" s="6">
        <v>71</v>
      </c>
      <c r="I6" s="11">
        <f t="shared" si="0"/>
        <v>3170</v>
      </c>
    </row>
    <row r="7" spans="1:9" x14ac:dyDescent="0.25">
      <c r="A7" s="3" t="s">
        <v>11</v>
      </c>
      <c r="B7" s="4">
        <v>2693</v>
      </c>
      <c r="C7" s="4">
        <v>1164</v>
      </c>
      <c r="D7" s="5">
        <v>188</v>
      </c>
      <c r="E7" s="6">
        <v>154</v>
      </c>
      <c r="F7" s="6">
        <v>117</v>
      </c>
      <c r="G7" s="6">
        <v>304</v>
      </c>
      <c r="H7" s="6">
        <v>646</v>
      </c>
      <c r="I7" s="11">
        <f t="shared" si="0"/>
        <v>5266</v>
      </c>
    </row>
    <row r="8" spans="1:9" x14ac:dyDescent="0.25">
      <c r="A8" s="3" t="s">
        <v>12</v>
      </c>
      <c r="B8" s="4">
        <v>5971</v>
      </c>
      <c r="C8" s="4">
        <v>6089</v>
      </c>
      <c r="D8" s="5">
        <v>31</v>
      </c>
      <c r="E8" s="6">
        <v>14</v>
      </c>
      <c r="F8" s="6">
        <v>7</v>
      </c>
      <c r="G8" s="6">
        <v>44</v>
      </c>
      <c r="H8" s="6">
        <v>88</v>
      </c>
      <c r="I8" s="11">
        <f t="shared" si="0"/>
        <v>12244</v>
      </c>
    </row>
    <row r="9" spans="1:9" x14ac:dyDescent="0.25">
      <c r="A9" s="3" t="s">
        <v>13</v>
      </c>
      <c r="B9" s="4">
        <v>1258</v>
      </c>
      <c r="C9" s="4">
        <v>5864</v>
      </c>
      <c r="D9" s="5">
        <v>3</v>
      </c>
      <c r="E9" s="6">
        <v>0</v>
      </c>
      <c r="F9" s="6">
        <v>2</v>
      </c>
      <c r="G9" s="6">
        <v>0</v>
      </c>
      <c r="H9" s="6">
        <v>177</v>
      </c>
      <c r="I9" s="11">
        <f t="shared" si="0"/>
        <v>7304</v>
      </c>
    </row>
    <row r="10" spans="1:9" x14ac:dyDescent="0.25">
      <c r="A10" s="3" t="s">
        <v>14</v>
      </c>
      <c r="B10" s="4">
        <v>2521</v>
      </c>
      <c r="C10" s="4">
        <v>647</v>
      </c>
      <c r="D10" s="5">
        <v>107</v>
      </c>
      <c r="E10" s="6">
        <v>105</v>
      </c>
      <c r="F10" s="6">
        <v>19</v>
      </c>
      <c r="G10" s="6">
        <v>28</v>
      </c>
      <c r="H10" s="6">
        <v>817</v>
      </c>
      <c r="I10" s="11">
        <f t="shared" si="0"/>
        <v>4244</v>
      </c>
    </row>
    <row r="11" spans="1:9" x14ac:dyDescent="0.25">
      <c r="A11" s="3" t="s">
        <v>15</v>
      </c>
      <c r="B11" s="4">
        <v>3364</v>
      </c>
      <c r="C11" s="6">
        <v>1444</v>
      </c>
      <c r="D11" s="5">
        <v>57</v>
      </c>
      <c r="E11" s="6">
        <v>15</v>
      </c>
      <c r="F11" s="6">
        <v>5</v>
      </c>
      <c r="G11" s="6">
        <v>49</v>
      </c>
      <c r="H11" s="6">
        <v>139</v>
      </c>
      <c r="I11" s="11">
        <f t="shared" si="0"/>
        <v>5073</v>
      </c>
    </row>
    <row r="12" spans="1:9" x14ac:dyDescent="0.25">
      <c r="A12" s="3" t="s">
        <v>16</v>
      </c>
      <c r="B12" s="4">
        <v>12816</v>
      </c>
      <c r="C12" s="4">
        <v>17037</v>
      </c>
      <c r="D12" s="5">
        <v>307</v>
      </c>
      <c r="E12" s="6">
        <v>163</v>
      </c>
      <c r="F12" s="6">
        <v>77</v>
      </c>
      <c r="G12" s="6">
        <v>73</v>
      </c>
      <c r="H12" s="6">
        <v>647</v>
      </c>
      <c r="I12" s="11">
        <f t="shared" si="0"/>
        <v>31120</v>
      </c>
    </row>
    <row r="13" spans="1:9" x14ac:dyDescent="0.25">
      <c r="A13" s="3" t="s">
        <v>17</v>
      </c>
      <c r="B13" s="4">
        <v>3134</v>
      </c>
      <c r="C13" s="4">
        <v>1876</v>
      </c>
      <c r="D13" s="5">
        <v>178</v>
      </c>
      <c r="E13" s="6">
        <v>121</v>
      </c>
      <c r="F13" s="6">
        <v>94</v>
      </c>
      <c r="G13" s="6">
        <v>133</v>
      </c>
      <c r="H13" s="6">
        <v>187</v>
      </c>
      <c r="I13" s="11">
        <f t="shared" si="0"/>
        <v>5723</v>
      </c>
    </row>
    <row r="14" spans="1:9" x14ac:dyDescent="0.25">
      <c r="A14" s="3" t="s">
        <v>18</v>
      </c>
      <c r="B14" s="4">
        <v>9221</v>
      </c>
      <c r="C14" s="4">
        <v>3742</v>
      </c>
      <c r="D14" s="5">
        <v>57</v>
      </c>
      <c r="E14" s="6">
        <v>33</v>
      </c>
      <c r="F14" s="6">
        <v>4</v>
      </c>
      <c r="G14" s="6">
        <v>76</v>
      </c>
      <c r="H14" s="6">
        <v>390</v>
      </c>
      <c r="I14" s="11">
        <f t="shared" si="0"/>
        <v>13523</v>
      </c>
    </row>
    <row r="15" spans="1:9" x14ac:dyDescent="0.25">
      <c r="A15" s="3" t="s">
        <v>19</v>
      </c>
      <c r="B15" s="4">
        <v>5329</v>
      </c>
      <c r="C15" s="4">
        <v>1481</v>
      </c>
      <c r="D15" s="5">
        <v>103</v>
      </c>
      <c r="E15" s="6">
        <v>123</v>
      </c>
      <c r="F15" s="6">
        <v>23</v>
      </c>
      <c r="G15" s="6">
        <v>43</v>
      </c>
      <c r="H15" s="6">
        <v>10</v>
      </c>
      <c r="I15" s="11">
        <f t="shared" si="0"/>
        <v>7112</v>
      </c>
    </row>
    <row r="16" spans="1:9" x14ac:dyDescent="0.25">
      <c r="A16" s="3" t="s">
        <v>20</v>
      </c>
      <c r="B16" s="4">
        <v>2186</v>
      </c>
      <c r="C16" s="4">
        <v>1534</v>
      </c>
      <c r="D16" s="5">
        <v>212</v>
      </c>
      <c r="E16" s="6">
        <v>50</v>
      </c>
      <c r="F16" s="6">
        <v>65</v>
      </c>
      <c r="G16" s="6">
        <v>150</v>
      </c>
      <c r="H16" s="6">
        <v>78</v>
      </c>
      <c r="I16" s="11">
        <f t="shared" si="0"/>
        <v>4275</v>
      </c>
    </row>
    <row r="17" spans="1:9" x14ac:dyDescent="0.25">
      <c r="A17" s="3" t="s">
        <v>21</v>
      </c>
      <c r="B17" s="4">
        <v>9107</v>
      </c>
      <c r="C17" s="4">
        <v>6576</v>
      </c>
      <c r="D17" s="5">
        <v>1</v>
      </c>
      <c r="E17" s="6">
        <v>0</v>
      </c>
      <c r="F17" s="6">
        <v>0</v>
      </c>
      <c r="G17" s="6">
        <v>11</v>
      </c>
      <c r="H17" s="6">
        <v>434</v>
      </c>
      <c r="I17" s="11">
        <f t="shared" si="0"/>
        <v>16129</v>
      </c>
    </row>
    <row r="18" spans="1:9" x14ac:dyDescent="0.25">
      <c r="A18" s="3" t="s">
        <v>22</v>
      </c>
      <c r="B18" s="4">
        <v>5158</v>
      </c>
      <c r="C18" s="4">
        <v>8120</v>
      </c>
      <c r="D18" s="5">
        <v>610</v>
      </c>
      <c r="E18" s="6">
        <v>190</v>
      </c>
      <c r="F18" s="6">
        <v>19</v>
      </c>
      <c r="G18" s="6">
        <v>214</v>
      </c>
      <c r="H18" s="6">
        <v>435</v>
      </c>
      <c r="I18" s="11">
        <f t="shared" si="0"/>
        <v>14746</v>
      </c>
    </row>
    <row r="19" spans="1:9" x14ac:dyDescent="0.25">
      <c r="A19" s="3" t="s">
        <v>23</v>
      </c>
      <c r="B19" s="4">
        <v>6161</v>
      </c>
      <c r="C19" s="4">
        <v>1603</v>
      </c>
      <c r="D19" s="5">
        <v>590</v>
      </c>
      <c r="E19" s="6">
        <v>620</v>
      </c>
      <c r="F19" s="6">
        <v>638</v>
      </c>
      <c r="G19" s="6">
        <v>1068</v>
      </c>
      <c r="H19" s="6">
        <v>145</v>
      </c>
      <c r="I19" s="11">
        <f t="shared" si="0"/>
        <v>10825</v>
      </c>
    </row>
    <row r="20" spans="1:9" x14ac:dyDescent="0.25">
      <c r="A20" s="3" t="s">
        <v>24</v>
      </c>
      <c r="B20" s="4">
        <v>1079</v>
      </c>
      <c r="C20" s="6">
        <v>486</v>
      </c>
      <c r="D20" s="5">
        <v>81</v>
      </c>
      <c r="E20" s="6">
        <v>12</v>
      </c>
      <c r="F20" s="6">
        <v>43</v>
      </c>
      <c r="G20" s="6">
        <v>5</v>
      </c>
      <c r="H20" s="6">
        <v>26</v>
      </c>
      <c r="I20" s="11">
        <f t="shared" si="0"/>
        <v>1732</v>
      </c>
    </row>
    <row r="21" spans="1:9" x14ac:dyDescent="0.25">
      <c r="A21" s="3" t="s">
        <v>25</v>
      </c>
      <c r="B21" s="4">
        <v>1406</v>
      </c>
      <c r="C21" s="4">
        <v>1801</v>
      </c>
      <c r="D21" s="5">
        <v>33</v>
      </c>
      <c r="E21" s="6">
        <v>13</v>
      </c>
      <c r="F21" s="6">
        <v>13</v>
      </c>
      <c r="G21" s="6">
        <v>46</v>
      </c>
      <c r="H21" s="6">
        <v>296</v>
      </c>
      <c r="I21" s="11">
        <f t="shared" si="0"/>
        <v>3608</v>
      </c>
    </row>
    <row r="22" spans="1:9" x14ac:dyDescent="0.25">
      <c r="A22" s="3" t="s">
        <v>26</v>
      </c>
      <c r="B22" s="4">
        <v>8712</v>
      </c>
      <c r="C22" s="4">
        <v>2907</v>
      </c>
      <c r="D22" s="5">
        <v>565</v>
      </c>
      <c r="E22" s="6">
        <v>106</v>
      </c>
      <c r="F22" s="6">
        <v>133</v>
      </c>
      <c r="G22" s="6">
        <v>67</v>
      </c>
      <c r="H22" s="6">
        <v>775</v>
      </c>
      <c r="I22" s="11">
        <f t="shared" si="0"/>
        <v>13265</v>
      </c>
    </row>
    <row r="23" spans="1:9" x14ac:dyDescent="0.25">
      <c r="A23" s="3" t="s">
        <v>27</v>
      </c>
      <c r="B23" s="4">
        <v>2954</v>
      </c>
      <c r="C23" s="4">
        <v>3122</v>
      </c>
      <c r="D23" s="5">
        <v>145</v>
      </c>
      <c r="E23" s="6">
        <v>71</v>
      </c>
      <c r="F23" s="6">
        <v>24</v>
      </c>
      <c r="G23" s="6">
        <v>23</v>
      </c>
      <c r="H23" s="6">
        <v>148</v>
      </c>
      <c r="I23" s="11">
        <f t="shared" si="0"/>
        <v>6487</v>
      </c>
    </row>
    <row r="24" spans="1:9" x14ac:dyDescent="0.25">
      <c r="A24" s="3" t="s">
        <v>28</v>
      </c>
      <c r="B24" s="4">
        <v>3580</v>
      </c>
      <c r="C24" s="4">
        <v>3343</v>
      </c>
      <c r="D24" s="5">
        <v>201</v>
      </c>
      <c r="E24" s="6">
        <v>187</v>
      </c>
      <c r="F24" s="6">
        <v>17</v>
      </c>
      <c r="G24" s="6">
        <v>112</v>
      </c>
      <c r="H24" s="6">
        <v>310</v>
      </c>
      <c r="I24" s="11">
        <f t="shared" si="0"/>
        <v>7750</v>
      </c>
    </row>
    <row r="25" spans="1:9" x14ac:dyDescent="0.25">
      <c r="A25" s="3" t="s">
        <v>29</v>
      </c>
      <c r="B25" s="4">
        <v>9174</v>
      </c>
      <c r="C25" s="4">
        <v>3282</v>
      </c>
      <c r="D25" s="5">
        <v>32</v>
      </c>
      <c r="E25" s="6">
        <v>36</v>
      </c>
      <c r="F25" s="6">
        <v>16</v>
      </c>
      <c r="G25" s="6">
        <v>9</v>
      </c>
      <c r="H25" s="6">
        <v>14</v>
      </c>
      <c r="I25" s="11">
        <f t="shared" si="0"/>
        <v>12563</v>
      </c>
    </row>
    <row r="26" spans="1:9" x14ac:dyDescent="0.25">
      <c r="A26" s="3" t="s">
        <v>30</v>
      </c>
      <c r="B26" s="4">
        <v>29174</v>
      </c>
      <c r="C26" s="4">
        <v>38578</v>
      </c>
      <c r="D26" s="5">
        <v>1653</v>
      </c>
      <c r="E26" s="6">
        <v>409</v>
      </c>
      <c r="F26" s="6">
        <v>1162</v>
      </c>
      <c r="G26" s="6">
        <v>82</v>
      </c>
      <c r="H26" s="6">
        <v>40</v>
      </c>
      <c r="I26" s="11">
        <f t="shared" si="0"/>
        <v>71098</v>
      </c>
    </row>
    <row r="27" spans="1:9" x14ac:dyDescent="0.25">
      <c r="A27" s="3" t="s">
        <v>31</v>
      </c>
      <c r="B27" s="4">
        <v>5346</v>
      </c>
      <c r="C27" s="4">
        <v>12247</v>
      </c>
      <c r="D27" s="5">
        <v>57</v>
      </c>
      <c r="E27" s="6">
        <v>24</v>
      </c>
      <c r="F27" s="6">
        <v>19</v>
      </c>
      <c r="G27" s="6">
        <v>15</v>
      </c>
      <c r="H27" s="6">
        <v>354</v>
      </c>
      <c r="I27" s="11">
        <f t="shared" si="0"/>
        <v>18062</v>
      </c>
    </row>
    <row r="28" spans="1:9" x14ac:dyDescent="0.25">
      <c r="A28" s="3" t="s">
        <v>32</v>
      </c>
      <c r="B28" s="4">
        <v>41141</v>
      </c>
      <c r="C28" s="4">
        <v>23923</v>
      </c>
      <c r="D28" s="5">
        <v>12495</v>
      </c>
      <c r="E28" s="6">
        <v>2490</v>
      </c>
      <c r="F28" s="6">
        <v>2031</v>
      </c>
      <c r="G28" s="6">
        <v>281</v>
      </c>
      <c r="H28" s="6">
        <v>42</v>
      </c>
      <c r="I28" s="11">
        <f t="shared" si="0"/>
        <v>82403</v>
      </c>
    </row>
    <row r="29" spans="1:9" x14ac:dyDescent="0.25">
      <c r="A29" s="3" t="s">
        <v>33</v>
      </c>
      <c r="B29" s="4">
        <v>5475</v>
      </c>
      <c r="C29" s="4">
        <v>3451</v>
      </c>
      <c r="D29" s="5">
        <v>597</v>
      </c>
      <c r="E29" s="6">
        <v>370</v>
      </c>
      <c r="F29" s="6">
        <v>126</v>
      </c>
      <c r="G29" s="6">
        <v>295</v>
      </c>
      <c r="H29" s="6">
        <v>178</v>
      </c>
      <c r="I29" s="11">
        <f t="shared" si="0"/>
        <v>10492</v>
      </c>
    </row>
    <row r="30" spans="1:9" x14ac:dyDescent="0.25">
      <c r="A30" s="3" t="s">
        <v>34</v>
      </c>
      <c r="B30" s="4">
        <v>7074</v>
      </c>
      <c r="C30" s="4">
        <v>5350</v>
      </c>
      <c r="D30" s="5">
        <v>60</v>
      </c>
      <c r="E30" s="6">
        <v>20</v>
      </c>
      <c r="F30" s="6">
        <v>3</v>
      </c>
      <c r="G30" s="6">
        <v>44</v>
      </c>
      <c r="H30" s="6">
        <v>47</v>
      </c>
      <c r="I30" s="11">
        <f t="shared" si="0"/>
        <v>12598</v>
      </c>
    </row>
    <row r="31" spans="1:9" x14ac:dyDescent="0.25">
      <c r="A31" s="3" t="s">
        <v>35</v>
      </c>
      <c r="B31" s="4">
        <v>3596</v>
      </c>
      <c r="C31" s="4">
        <v>9627</v>
      </c>
      <c r="D31" s="5">
        <v>531</v>
      </c>
      <c r="E31" s="6">
        <v>358</v>
      </c>
      <c r="F31" s="6">
        <v>195</v>
      </c>
      <c r="G31" s="6">
        <v>307</v>
      </c>
      <c r="H31" s="6">
        <v>735</v>
      </c>
      <c r="I31" s="11">
        <f t="shared" si="0"/>
        <v>15349</v>
      </c>
    </row>
    <row r="32" spans="1:9" x14ac:dyDescent="0.25">
      <c r="A32" s="3" t="s">
        <v>36</v>
      </c>
      <c r="B32" s="4">
        <v>4635</v>
      </c>
      <c r="C32" s="4">
        <v>1740</v>
      </c>
      <c r="D32" s="5">
        <v>181</v>
      </c>
      <c r="E32" s="6">
        <v>74</v>
      </c>
      <c r="F32" s="6">
        <v>33</v>
      </c>
      <c r="G32" s="6">
        <v>74</v>
      </c>
      <c r="H32" s="6">
        <v>7</v>
      </c>
      <c r="I32" s="11">
        <f t="shared" si="0"/>
        <v>6744</v>
      </c>
    </row>
    <row r="33" spans="1:9" ht="15.75" thickBot="1" x14ac:dyDescent="0.3">
      <c r="A33" s="7" t="s">
        <v>39</v>
      </c>
      <c r="B33" s="8">
        <f t="shared" ref="B33:C33" si="1">SUM(B2:B32)</f>
        <v>224862</v>
      </c>
      <c r="C33" s="8">
        <f t="shared" si="1"/>
        <v>211621</v>
      </c>
      <c r="D33" s="8">
        <f>SUM(D2:D32)</f>
        <v>20442</v>
      </c>
      <c r="E33" s="8">
        <f t="shared" ref="E33:I33" si="2">SUM(E2:E32)</f>
        <v>6399</v>
      </c>
      <c r="F33" s="8">
        <f t="shared" si="2"/>
        <v>5323</v>
      </c>
      <c r="G33" s="8">
        <f t="shared" si="2"/>
        <v>4154</v>
      </c>
      <c r="H33" s="8">
        <f t="shared" si="2"/>
        <v>10443</v>
      </c>
      <c r="I33" s="9">
        <f t="shared" si="2"/>
        <v>483244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565AA-CAC8-4177-8383-D35752966236}">
  <dimension ref="A1:I33"/>
  <sheetViews>
    <sheetView rightToLeft="1" tabSelected="1" workbookViewId="0">
      <selection activeCell="M10" sqref="M10"/>
    </sheetView>
  </sheetViews>
  <sheetFormatPr defaultRowHeight="15" x14ac:dyDescent="0.25"/>
  <cols>
    <col min="1" max="1" width="15.85546875" bestFit="1" customWidth="1"/>
    <col min="3" max="4" width="9.28515625" bestFit="1" customWidth="1"/>
    <col min="5" max="5" width="9.85546875" bestFit="1" customWidth="1"/>
    <col min="6" max="6" width="11" bestFit="1" customWidth="1"/>
    <col min="7" max="7" width="11.5703125" bestFit="1" customWidth="1"/>
  </cols>
  <sheetData>
    <row r="1" spans="1:9" x14ac:dyDescent="0.25">
      <c r="A1" s="1" t="s">
        <v>0</v>
      </c>
      <c r="B1" s="2" t="s">
        <v>1</v>
      </c>
      <c r="C1" s="2" t="s">
        <v>37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38</v>
      </c>
      <c r="I1" s="10" t="s">
        <v>40</v>
      </c>
    </row>
    <row r="2" spans="1:9" x14ac:dyDescent="0.25">
      <c r="A2" s="3" t="s">
        <v>6</v>
      </c>
      <c r="B2" s="4">
        <v>8293</v>
      </c>
      <c r="C2" s="4">
        <v>5562</v>
      </c>
      <c r="D2" s="5">
        <v>177</v>
      </c>
      <c r="E2" s="6">
        <v>71</v>
      </c>
      <c r="F2" s="6">
        <v>31</v>
      </c>
      <c r="G2" s="6">
        <v>69</v>
      </c>
      <c r="H2" s="6">
        <v>8</v>
      </c>
      <c r="I2" s="11">
        <f>SUM(B2:H2)</f>
        <v>14211</v>
      </c>
    </row>
    <row r="3" spans="1:9" x14ac:dyDescent="0.25">
      <c r="A3" s="3" t="s">
        <v>7</v>
      </c>
      <c r="B3" s="4">
        <v>3553</v>
      </c>
      <c r="C3" s="4">
        <v>10414</v>
      </c>
      <c r="D3" s="5">
        <v>152</v>
      </c>
      <c r="E3" s="6">
        <v>77</v>
      </c>
      <c r="F3" s="6">
        <v>145</v>
      </c>
      <c r="G3" s="6">
        <v>44</v>
      </c>
      <c r="H3" s="6">
        <v>751</v>
      </c>
      <c r="I3" s="11">
        <f t="shared" ref="I3:I32" si="0">SUM(B3:H3)</f>
        <v>15136</v>
      </c>
    </row>
    <row r="4" spans="1:9" x14ac:dyDescent="0.25">
      <c r="A4" s="3" t="s">
        <v>8</v>
      </c>
      <c r="B4" s="4">
        <v>4077</v>
      </c>
      <c r="C4" s="4">
        <v>2853</v>
      </c>
      <c r="D4" s="5">
        <v>0</v>
      </c>
      <c r="E4" s="6">
        <v>1</v>
      </c>
      <c r="F4" s="6">
        <v>0</v>
      </c>
      <c r="G4" s="6">
        <v>0</v>
      </c>
      <c r="H4" s="6">
        <v>406</v>
      </c>
      <c r="I4" s="11">
        <f t="shared" si="0"/>
        <v>7337</v>
      </c>
    </row>
    <row r="5" spans="1:9" x14ac:dyDescent="0.25">
      <c r="A5" s="3" t="s">
        <v>9</v>
      </c>
      <c r="B5" s="4">
        <v>3591</v>
      </c>
      <c r="C5" s="4">
        <v>756</v>
      </c>
      <c r="D5" s="5">
        <v>181</v>
      </c>
      <c r="E5" s="6">
        <v>106</v>
      </c>
      <c r="F5" s="6">
        <v>18</v>
      </c>
      <c r="G5" s="6">
        <v>63</v>
      </c>
      <c r="H5" s="6">
        <v>26</v>
      </c>
      <c r="I5" s="11">
        <f t="shared" si="0"/>
        <v>4741</v>
      </c>
    </row>
    <row r="6" spans="1:9" x14ac:dyDescent="0.25">
      <c r="A6" s="3" t="s">
        <v>10</v>
      </c>
      <c r="B6" s="4">
        <v>654</v>
      </c>
      <c r="C6" s="4">
        <v>925</v>
      </c>
      <c r="D6" s="5">
        <v>29</v>
      </c>
      <c r="E6" s="6">
        <v>5</v>
      </c>
      <c r="F6" s="6">
        <v>39</v>
      </c>
      <c r="G6" s="6">
        <v>16</v>
      </c>
      <c r="H6" s="6">
        <v>1</v>
      </c>
      <c r="I6" s="11">
        <f t="shared" si="0"/>
        <v>1669</v>
      </c>
    </row>
    <row r="7" spans="1:9" x14ac:dyDescent="0.25">
      <c r="A7" s="3" t="s">
        <v>11</v>
      </c>
      <c r="B7" s="4">
        <v>1596</v>
      </c>
      <c r="C7" s="4">
        <v>594</v>
      </c>
      <c r="D7" s="5">
        <v>60</v>
      </c>
      <c r="E7" s="6">
        <v>34</v>
      </c>
      <c r="F7" s="6">
        <v>40</v>
      </c>
      <c r="G7" s="6">
        <v>125</v>
      </c>
      <c r="H7" s="6">
        <v>303</v>
      </c>
      <c r="I7" s="11">
        <f t="shared" si="0"/>
        <v>2752</v>
      </c>
    </row>
    <row r="8" spans="1:9" x14ac:dyDescent="0.25">
      <c r="A8" s="3" t="s">
        <v>12</v>
      </c>
      <c r="B8" s="4">
        <v>3208</v>
      </c>
      <c r="C8" s="4">
        <v>3434</v>
      </c>
      <c r="D8" s="5">
        <v>0</v>
      </c>
      <c r="E8" s="6">
        <v>0</v>
      </c>
      <c r="F8" s="6">
        <v>0</v>
      </c>
      <c r="G8" s="6">
        <v>1</v>
      </c>
      <c r="H8" s="6">
        <v>0</v>
      </c>
      <c r="I8" s="11">
        <f t="shared" si="0"/>
        <v>6643</v>
      </c>
    </row>
    <row r="9" spans="1:9" x14ac:dyDescent="0.25">
      <c r="A9" s="3" t="s">
        <v>13</v>
      </c>
      <c r="B9" s="4">
        <v>722</v>
      </c>
      <c r="C9" s="4">
        <v>4493</v>
      </c>
      <c r="D9" s="5">
        <v>0</v>
      </c>
      <c r="E9" s="6">
        <v>0</v>
      </c>
      <c r="F9" s="6">
        <v>0</v>
      </c>
      <c r="G9" s="6">
        <v>0</v>
      </c>
      <c r="H9" s="6">
        <v>28</v>
      </c>
      <c r="I9" s="11">
        <f t="shared" si="0"/>
        <v>5243</v>
      </c>
    </row>
    <row r="10" spans="1:9" x14ac:dyDescent="0.25">
      <c r="A10" s="3" t="s">
        <v>14</v>
      </c>
      <c r="B10" s="4">
        <v>1331</v>
      </c>
      <c r="C10" s="4">
        <v>324</v>
      </c>
      <c r="D10" s="5">
        <v>37</v>
      </c>
      <c r="E10" s="6">
        <v>18</v>
      </c>
      <c r="F10" s="6">
        <v>4</v>
      </c>
      <c r="G10" s="6">
        <v>16</v>
      </c>
      <c r="H10" s="6">
        <v>240</v>
      </c>
      <c r="I10" s="11">
        <f t="shared" si="0"/>
        <v>1970</v>
      </c>
    </row>
    <row r="11" spans="1:9" x14ac:dyDescent="0.25">
      <c r="A11" s="3" t="s">
        <v>15</v>
      </c>
      <c r="B11" s="4">
        <v>1974</v>
      </c>
      <c r="C11" s="6">
        <v>805</v>
      </c>
      <c r="D11" s="5">
        <v>19</v>
      </c>
      <c r="E11" s="6">
        <v>11</v>
      </c>
      <c r="F11" s="6">
        <v>1</v>
      </c>
      <c r="G11" s="6">
        <v>15</v>
      </c>
      <c r="H11" s="6">
        <v>0</v>
      </c>
      <c r="I11" s="11">
        <f t="shared" si="0"/>
        <v>2825</v>
      </c>
    </row>
    <row r="12" spans="1:9" x14ac:dyDescent="0.25">
      <c r="A12" s="3" t="s">
        <v>16</v>
      </c>
      <c r="B12" s="4">
        <v>6922</v>
      </c>
      <c r="C12" s="4">
        <v>10183</v>
      </c>
      <c r="D12" s="5">
        <v>86</v>
      </c>
      <c r="E12" s="6">
        <v>43</v>
      </c>
      <c r="F12" s="6">
        <v>22</v>
      </c>
      <c r="G12" s="6">
        <v>22</v>
      </c>
      <c r="H12" s="6">
        <v>259</v>
      </c>
      <c r="I12" s="11">
        <f t="shared" si="0"/>
        <v>17537</v>
      </c>
    </row>
    <row r="13" spans="1:9" x14ac:dyDescent="0.25">
      <c r="A13" s="3" t="s">
        <v>17</v>
      </c>
      <c r="B13" s="4">
        <v>1790</v>
      </c>
      <c r="C13" s="4">
        <v>976</v>
      </c>
      <c r="D13" s="5">
        <v>48</v>
      </c>
      <c r="E13" s="6">
        <v>45</v>
      </c>
      <c r="F13" s="6">
        <v>43</v>
      </c>
      <c r="G13" s="6">
        <v>46</v>
      </c>
      <c r="H13" s="6">
        <v>336</v>
      </c>
      <c r="I13" s="11">
        <f t="shared" si="0"/>
        <v>3284</v>
      </c>
    </row>
    <row r="14" spans="1:9" x14ac:dyDescent="0.25">
      <c r="A14" s="3" t="s">
        <v>18</v>
      </c>
      <c r="B14" s="4">
        <v>4765</v>
      </c>
      <c r="C14" s="4">
        <v>1633</v>
      </c>
      <c r="D14" s="5">
        <v>15</v>
      </c>
      <c r="E14" s="6">
        <v>8</v>
      </c>
      <c r="F14" s="6">
        <v>2</v>
      </c>
      <c r="G14" s="6">
        <v>10</v>
      </c>
      <c r="H14" s="6">
        <v>283</v>
      </c>
      <c r="I14" s="11">
        <f t="shared" si="0"/>
        <v>6716</v>
      </c>
    </row>
    <row r="15" spans="1:9" x14ac:dyDescent="0.25">
      <c r="A15" s="3" t="s">
        <v>19</v>
      </c>
      <c r="B15" s="4">
        <v>3146</v>
      </c>
      <c r="C15" s="4">
        <v>948</v>
      </c>
      <c r="D15" s="5">
        <v>29</v>
      </c>
      <c r="E15" s="6">
        <v>45</v>
      </c>
      <c r="F15" s="6">
        <v>3</v>
      </c>
      <c r="G15" s="6">
        <v>12</v>
      </c>
      <c r="H15" s="6">
        <v>0</v>
      </c>
      <c r="I15" s="11">
        <f t="shared" si="0"/>
        <v>4183</v>
      </c>
    </row>
    <row r="16" spans="1:9" x14ac:dyDescent="0.25">
      <c r="A16" s="3" t="s">
        <v>20</v>
      </c>
      <c r="B16" s="4">
        <v>1120</v>
      </c>
      <c r="C16" s="4">
        <v>746</v>
      </c>
      <c r="D16" s="5">
        <v>55</v>
      </c>
      <c r="E16" s="6">
        <v>15</v>
      </c>
      <c r="F16" s="6">
        <v>15</v>
      </c>
      <c r="G16" s="6">
        <v>44</v>
      </c>
      <c r="H16" s="6">
        <v>23</v>
      </c>
      <c r="I16" s="11">
        <f t="shared" si="0"/>
        <v>2018</v>
      </c>
    </row>
    <row r="17" spans="1:9" x14ac:dyDescent="0.25">
      <c r="A17" s="3" t="s">
        <v>21</v>
      </c>
      <c r="B17" s="4">
        <v>6259</v>
      </c>
      <c r="C17" s="4">
        <v>3644</v>
      </c>
      <c r="D17" s="5">
        <v>0</v>
      </c>
      <c r="E17" s="6">
        <v>0</v>
      </c>
      <c r="F17" s="6">
        <v>0</v>
      </c>
      <c r="G17" s="6">
        <v>0</v>
      </c>
      <c r="H17" s="6">
        <v>221</v>
      </c>
      <c r="I17" s="11">
        <f t="shared" si="0"/>
        <v>10124</v>
      </c>
    </row>
    <row r="18" spans="1:9" x14ac:dyDescent="0.25">
      <c r="A18" s="3" t="s">
        <v>22</v>
      </c>
      <c r="B18" s="4">
        <v>3223</v>
      </c>
      <c r="C18" s="4">
        <v>5540</v>
      </c>
      <c r="D18" s="5">
        <v>239</v>
      </c>
      <c r="E18" s="6">
        <v>83</v>
      </c>
      <c r="F18" s="6">
        <v>8</v>
      </c>
      <c r="G18" s="6">
        <v>73</v>
      </c>
      <c r="H18" s="6">
        <v>120</v>
      </c>
      <c r="I18" s="11">
        <f t="shared" si="0"/>
        <v>9286</v>
      </c>
    </row>
    <row r="19" spans="1:9" x14ac:dyDescent="0.25">
      <c r="A19" s="3" t="s">
        <v>23</v>
      </c>
      <c r="B19" s="4">
        <v>3922</v>
      </c>
      <c r="C19" s="4">
        <v>817</v>
      </c>
      <c r="D19" s="5">
        <v>242</v>
      </c>
      <c r="E19" s="6">
        <v>276</v>
      </c>
      <c r="F19" s="6">
        <v>329</v>
      </c>
      <c r="G19" s="6">
        <v>498</v>
      </c>
      <c r="H19" s="6">
        <v>40</v>
      </c>
      <c r="I19" s="11">
        <f t="shared" si="0"/>
        <v>6124</v>
      </c>
    </row>
    <row r="20" spans="1:9" x14ac:dyDescent="0.25">
      <c r="A20" s="3" t="s">
        <v>24</v>
      </c>
      <c r="B20" s="4">
        <v>716</v>
      </c>
      <c r="C20" s="6">
        <v>229</v>
      </c>
      <c r="D20" s="5">
        <v>27</v>
      </c>
      <c r="E20" s="6">
        <v>4</v>
      </c>
      <c r="F20" s="6">
        <v>12</v>
      </c>
      <c r="G20" s="6">
        <v>0</v>
      </c>
      <c r="H20" s="6">
        <v>0</v>
      </c>
      <c r="I20" s="11">
        <f t="shared" si="0"/>
        <v>988</v>
      </c>
    </row>
    <row r="21" spans="1:9" x14ac:dyDescent="0.25">
      <c r="A21" s="3" t="s">
        <v>25</v>
      </c>
      <c r="B21" s="4">
        <v>830</v>
      </c>
      <c r="C21" s="4">
        <v>1507</v>
      </c>
      <c r="D21" s="5">
        <v>12</v>
      </c>
      <c r="E21" s="6">
        <v>1</v>
      </c>
      <c r="F21" s="6">
        <v>1</v>
      </c>
      <c r="G21" s="6">
        <v>1</v>
      </c>
      <c r="H21" s="6">
        <v>87</v>
      </c>
      <c r="I21" s="11">
        <f t="shared" si="0"/>
        <v>2439</v>
      </c>
    </row>
    <row r="22" spans="1:9" x14ac:dyDescent="0.25">
      <c r="A22" s="3" t="s">
        <v>26</v>
      </c>
      <c r="B22" s="4">
        <v>4375</v>
      </c>
      <c r="C22" s="4">
        <v>1832</v>
      </c>
      <c r="D22" s="5">
        <v>130</v>
      </c>
      <c r="E22" s="6">
        <v>27</v>
      </c>
      <c r="F22" s="6">
        <v>26</v>
      </c>
      <c r="G22" s="6">
        <v>18</v>
      </c>
      <c r="H22" s="6">
        <v>145</v>
      </c>
      <c r="I22" s="11">
        <f t="shared" si="0"/>
        <v>6553</v>
      </c>
    </row>
    <row r="23" spans="1:9" x14ac:dyDescent="0.25">
      <c r="A23" s="3" t="s">
        <v>27</v>
      </c>
      <c r="B23" s="4">
        <v>1703</v>
      </c>
      <c r="C23" s="4">
        <v>1837</v>
      </c>
      <c r="D23" s="5">
        <v>26</v>
      </c>
      <c r="E23" s="6">
        <v>12</v>
      </c>
      <c r="F23" s="6">
        <v>1</v>
      </c>
      <c r="G23" s="6">
        <v>6</v>
      </c>
      <c r="H23" s="6">
        <v>35</v>
      </c>
      <c r="I23" s="11">
        <f t="shared" si="0"/>
        <v>3620</v>
      </c>
    </row>
    <row r="24" spans="1:9" x14ac:dyDescent="0.25">
      <c r="A24" s="3" t="s">
        <v>28</v>
      </c>
      <c r="B24" s="4">
        <v>1499</v>
      </c>
      <c r="C24" s="4">
        <v>1542</v>
      </c>
      <c r="D24" s="5">
        <v>58</v>
      </c>
      <c r="E24" s="6">
        <v>37</v>
      </c>
      <c r="F24" s="6">
        <v>5</v>
      </c>
      <c r="G24" s="6">
        <v>25</v>
      </c>
      <c r="H24" s="6">
        <v>37</v>
      </c>
      <c r="I24" s="11">
        <f t="shared" si="0"/>
        <v>3203</v>
      </c>
    </row>
    <row r="25" spans="1:9" x14ac:dyDescent="0.25">
      <c r="A25" s="3" t="s">
        <v>29</v>
      </c>
      <c r="B25" s="4">
        <v>4112</v>
      </c>
      <c r="C25" s="4">
        <v>1591</v>
      </c>
      <c r="D25" s="5">
        <v>0</v>
      </c>
      <c r="E25" s="6">
        <v>1</v>
      </c>
      <c r="F25" s="6">
        <v>0</v>
      </c>
      <c r="G25" s="6">
        <v>10</v>
      </c>
      <c r="H25" s="6">
        <v>0</v>
      </c>
      <c r="I25" s="11">
        <f t="shared" si="0"/>
        <v>5714</v>
      </c>
    </row>
    <row r="26" spans="1:9" x14ac:dyDescent="0.25">
      <c r="A26" s="3" t="s">
        <v>30</v>
      </c>
      <c r="B26" s="4">
        <v>19413</v>
      </c>
      <c r="C26" s="4">
        <v>22715</v>
      </c>
      <c r="D26" s="5">
        <v>787</v>
      </c>
      <c r="E26" s="6">
        <v>147</v>
      </c>
      <c r="F26" s="6">
        <v>499</v>
      </c>
      <c r="G26" s="6">
        <v>42</v>
      </c>
      <c r="H26" s="6">
        <v>0</v>
      </c>
      <c r="I26" s="11">
        <f t="shared" si="0"/>
        <v>43603</v>
      </c>
    </row>
    <row r="27" spans="1:9" x14ac:dyDescent="0.25">
      <c r="A27" s="3" t="s">
        <v>31</v>
      </c>
      <c r="B27" s="4">
        <v>2360</v>
      </c>
      <c r="C27" s="4">
        <v>6905</v>
      </c>
      <c r="D27" s="5">
        <v>3</v>
      </c>
      <c r="E27" s="6">
        <v>3</v>
      </c>
      <c r="F27" s="6">
        <v>0</v>
      </c>
      <c r="G27" s="6">
        <v>0</v>
      </c>
      <c r="H27" s="6">
        <v>38</v>
      </c>
      <c r="I27" s="11">
        <f t="shared" si="0"/>
        <v>9309</v>
      </c>
    </row>
    <row r="28" spans="1:9" x14ac:dyDescent="0.25">
      <c r="A28" s="3" t="s">
        <v>32</v>
      </c>
      <c r="B28" s="4">
        <v>29287</v>
      </c>
      <c r="C28" s="4">
        <v>14010</v>
      </c>
      <c r="D28" s="5">
        <v>6737</v>
      </c>
      <c r="E28" s="6">
        <v>1569</v>
      </c>
      <c r="F28" s="6">
        <v>1279</v>
      </c>
      <c r="G28" s="6">
        <v>154</v>
      </c>
      <c r="H28" s="6">
        <v>0</v>
      </c>
      <c r="I28" s="11">
        <f t="shared" si="0"/>
        <v>53036</v>
      </c>
    </row>
    <row r="29" spans="1:9" x14ac:dyDescent="0.25">
      <c r="A29" s="3" t="s">
        <v>33</v>
      </c>
      <c r="B29" s="4">
        <v>3862</v>
      </c>
      <c r="C29" s="4">
        <v>1818</v>
      </c>
      <c r="D29" s="5">
        <v>252</v>
      </c>
      <c r="E29" s="6">
        <v>150</v>
      </c>
      <c r="F29" s="6">
        <v>76</v>
      </c>
      <c r="G29" s="6">
        <v>109</v>
      </c>
      <c r="H29" s="6">
        <v>54</v>
      </c>
      <c r="I29" s="11">
        <f t="shared" si="0"/>
        <v>6321</v>
      </c>
    </row>
    <row r="30" spans="1:9" x14ac:dyDescent="0.25">
      <c r="A30" s="3" t="s">
        <v>34</v>
      </c>
      <c r="B30" s="4">
        <v>3514</v>
      </c>
      <c r="C30" s="4">
        <v>3671</v>
      </c>
      <c r="D30" s="5">
        <v>2</v>
      </c>
      <c r="E30" s="6">
        <v>2</v>
      </c>
      <c r="F30" s="6">
        <v>0</v>
      </c>
      <c r="G30" s="6">
        <v>4</v>
      </c>
      <c r="H30" s="6">
        <v>15</v>
      </c>
      <c r="I30" s="11">
        <f t="shared" si="0"/>
        <v>7208</v>
      </c>
    </row>
    <row r="31" spans="1:9" x14ac:dyDescent="0.25">
      <c r="A31" s="3" t="s">
        <v>35</v>
      </c>
      <c r="B31" s="4">
        <v>1956</v>
      </c>
      <c r="C31" s="4">
        <v>5702</v>
      </c>
      <c r="D31" s="5">
        <v>63</v>
      </c>
      <c r="E31" s="6">
        <v>49</v>
      </c>
      <c r="F31" s="6">
        <v>31</v>
      </c>
      <c r="G31" s="6">
        <v>73</v>
      </c>
      <c r="H31" s="6">
        <v>103</v>
      </c>
      <c r="I31" s="11">
        <f t="shared" si="0"/>
        <v>7977</v>
      </c>
    </row>
    <row r="32" spans="1:9" x14ac:dyDescent="0.25">
      <c r="A32" s="3" t="s">
        <v>36</v>
      </c>
      <c r="B32" s="4">
        <v>1637</v>
      </c>
      <c r="C32" s="4">
        <v>737</v>
      </c>
      <c r="D32" s="5">
        <v>78</v>
      </c>
      <c r="E32" s="6">
        <v>23</v>
      </c>
      <c r="F32" s="6">
        <v>12</v>
      </c>
      <c r="G32" s="6">
        <v>36</v>
      </c>
      <c r="H32" s="6">
        <v>0</v>
      </c>
      <c r="I32" s="11">
        <f t="shared" si="0"/>
        <v>2523</v>
      </c>
    </row>
    <row r="33" spans="1:9" ht="15.75" thickBot="1" x14ac:dyDescent="0.3">
      <c r="A33" s="7" t="s">
        <v>39</v>
      </c>
      <c r="B33" s="8">
        <f t="shared" ref="B33:C33" si="1">SUM(B2:B32)</f>
        <v>135410</v>
      </c>
      <c r="C33" s="8">
        <f t="shared" si="1"/>
        <v>118743</v>
      </c>
      <c r="D33" s="8">
        <f>SUM(D2:D32)</f>
        <v>9544</v>
      </c>
      <c r="E33" s="8">
        <f t="shared" ref="E33:I33" si="2">SUM(E2:E32)</f>
        <v>2863</v>
      </c>
      <c r="F33" s="8">
        <f t="shared" si="2"/>
        <v>2642</v>
      </c>
      <c r="G33" s="8">
        <f t="shared" si="2"/>
        <v>1532</v>
      </c>
      <c r="H33" s="8">
        <f t="shared" si="2"/>
        <v>3559</v>
      </c>
      <c r="I33" s="9">
        <f t="shared" si="2"/>
        <v>274293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1402</vt:lpstr>
      <vt:lpstr>1403</vt:lpstr>
      <vt:lpstr>1404</vt:lpstr>
      <vt:lpstr>1405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mousapour</dc:creator>
  <cp:lastModifiedBy>mousapour</cp:lastModifiedBy>
  <dcterms:created xsi:type="dcterms:W3CDTF">2025-10-21T04:54:41Z</dcterms:created>
  <dcterms:modified xsi:type="dcterms:W3CDTF">2026-10-10T19:06:06Z</dcterms:modified>
</cp:coreProperties>
</file>